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C:\Users\SEF Esma\Downloads\Michelscom\"/>
    </mc:Choice>
  </mc:AlternateContent>
  <xr:revisionPtr revIDLastSave="0" documentId="13_ncr:1_{0DCF941F-8F41-47C6-BCCE-049A9D52DB87}" xr6:coauthVersionLast="47" xr6:coauthVersionMax="47" xr10:uidLastSave="{00000000-0000-0000-0000-000000000000}"/>
  <bookViews>
    <workbookView xWindow="-96" yWindow="-96" windowWidth="23232" windowHeight="12432" firstSheet="2" activeTab="2" xr2:uid="{00000000-000D-0000-FFFF-FFFF00000000}"/>
  </bookViews>
  <sheets>
    <sheet name="Valuation" sheetId="2" r:id="rId1"/>
    <sheet name="Precedent Transactions&gt;&gt;&gt;" sheetId="3" r:id="rId2"/>
    <sheet name="Transactions" sheetId="4" r:id="rId3"/>
    <sheet name="Relevant Transactions" sheetId="5" r:id="rId4"/>
    <sheet name="Comparable Companies&gt;&gt;&gt;" sheetId="6" r:id="rId5"/>
    <sheet name="Companies" sheetId="7"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2" i="7" l="1"/>
  <c r="S22" i="7"/>
  <c r="E7" i="2" s="1"/>
  <c r="E8" i="2" s="1"/>
  <c r="R22" i="7"/>
  <c r="T21" i="7"/>
  <c r="S21" i="7"/>
  <c r="F7" i="2" s="1"/>
  <c r="F8" i="2" s="1"/>
  <c r="R21" i="7"/>
  <c r="T20" i="7"/>
  <c r="S20" i="7"/>
  <c r="D7" i="2" s="1"/>
  <c r="D8" i="2" s="1"/>
  <c r="R20" i="7"/>
  <c r="T19" i="7"/>
  <c r="S19" i="7"/>
  <c r="C7" i="2" s="1"/>
  <c r="C8" i="2" s="1"/>
  <c r="R19" i="7"/>
  <c r="K17" i="7"/>
  <c r="K16" i="7"/>
  <c r="K15" i="7"/>
  <c r="K14" i="7"/>
  <c r="K13" i="7"/>
  <c r="K12" i="7"/>
  <c r="K11" i="7"/>
  <c r="K10" i="7"/>
  <c r="K9" i="7"/>
  <c r="K8" i="7"/>
  <c r="K7" i="7"/>
  <c r="K6" i="7"/>
  <c r="K5" i="7"/>
  <c r="K4" i="7"/>
  <c r="J18" i="5"/>
  <c r="I18" i="5"/>
  <c r="E14" i="2" s="1"/>
  <c r="E15" i="2" s="1"/>
  <c r="H18" i="5"/>
  <c r="J17" i="5"/>
  <c r="I17" i="5"/>
  <c r="F14" i="2" s="1"/>
  <c r="F15" i="2" s="1"/>
  <c r="H17" i="5"/>
  <c r="J16" i="5"/>
  <c r="I16" i="5"/>
  <c r="D14" i="2" s="1"/>
  <c r="D15" i="2" s="1"/>
  <c r="H16" i="5"/>
  <c r="J15" i="5"/>
  <c r="I15" i="5"/>
  <c r="C14" i="2" s="1"/>
  <c r="C15" i="2" s="1"/>
  <c r="H15" i="5"/>
  <c r="N58" i="4"/>
  <c r="M58" i="4"/>
  <c r="L58" i="4"/>
  <c r="N57" i="4"/>
  <c r="M57" i="4"/>
  <c r="L57" i="4"/>
  <c r="N56" i="4"/>
  <c r="M56" i="4"/>
  <c r="L56" i="4"/>
  <c r="N55" i="4"/>
  <c r="M55" i="4"/>
  <c r="L55" i="4"/>
</calcChain>
</file>

<file path=xl/sharedStrings.xml><?xml version="1.0" encoding="utf-8"?>
<sst xmlns="http://schemas.openxmlformats.org/spreadsheetml/2006/main" count="736" uniqueCount="465">
  <si>
    <t>Comparable Companies</t>
  </si>
  <si>
    <t>mEUR</t>
  </si>
  <si>
    <t>Min</t>
  </si>
  <si>
    <t>Median</t>
  </si>
  <si>
    <t>Average</t>
  </si>
  <si>
    <t>Max</t>
  </si>
  <si>
    <t>FY26 EBITDA</t>
  </si>
  <si>
    <t>EV/EBITDA</t>
  </si>
  <si>
    <t>Enterprise Value</t>
  </si>
  <si>
    <t>Precedent Transactions</t>
  </si>
  <si>
    <t>Index</t>
  </si>
  <si>
    <t>Target</t>
  </si>
  <si>
    <t>Type</t>
  </si>
  <si>
    <t>Status</t>
  </si>
  <si>
    <t>Announced</t>
  </si>
  <si>
    <t>Announcment Month</t>
  </si>
  <si>
    <t>Summary</t>
  </si>
  <si>
    <t>Deal Size ($Mn)</t>
  </si>
  <si>
    <t>Valuation ($Mn)</t>
  </si>
  <si>
    <t>Revenue ($Mn)</t>
  </si>
  <si>
    <t xml:space="preserve">EV/Sales </t>
  </si>
  <si>
    <t xml:space="preserve">EV/EBIT </t>
  </si>
  <si>
    <t>Buyers</t>
  </si>
  <si>
    <t>Sellers</t>
  </si>
  <si>
    <t>Target Country</t>
  </si>
  <si>
    <t>Target Employees</t>
  </si>
  <si>
    <t>Aarstad &amp; Bjørnhaug Bemanning AS</t>
  </si>
  <si>
    <t>Company Acquisition</t>
  </si>
  <si>
    <t>finished</t>
  </si>
  <si>
    <t>Apr 08, 2026</t>
  </si>
  <si>
    <t>Calviks, a Swedish investment firm, has signed a non-binding Letter of Intent to acquire Aarstad &amp; Bjørnhaug Bemanning, a Norwegian staffing firm. The deal is part of Calviks' expansion strategy in the Norwegian market. The preliminary purchase price is approximately NOK 43.7 million, with potential earn-outs from 2026 to 2028.</t>
  </si>
  <si>
    <t>Calviks AB</t>
  </si>
  <si>
    <t>NO</t>
  </si>
  <si>
    <t>13</t>
  </si>
  <si>
    <t>Greycoat Lumleys</t>
  </si>
  <si>
    <t>Carve-Out Acquisition</t>
  </si>
  <si>
    <t>Mar 31, 2026</t>
  </si>
  <si>
    <t>Empresaria Group plc acquired the remaining 10% minority interest in its UK subsidiary, Greycoat Placements Limited (GP), from Deborah Salter, GP's managing director. This acquisition makes GP a wholly-owned subsidiary of Empresaria.</t>
  </si>
  <si>
    <t>1</t>
  </si>
  <si>
    <t>Empresaria Group plc</t>
  </si>
  <si>
    <t>GB</t>
  </si>
  <si>
    <t>238</t>
  </si>
  <si>
    <t>Metric</t>
  </si>
  <si>
    <t>Mar 24, 2026</t>
  </si>
  <si>
    <t>Southfield Capital has acquired Metric Search, a UK-based executive search firm, in a $100 million deal. This acquisition marks an exit for UK-based investor BGF, who had backed Metric Search for 20 months.</t>
  </si>
  <si>
    <t>100</t>
  </si>
  <si>
    <t>12</t>
  </si>
  <si>
    <t>Southfield Capital</t>
  </si>
  <si>
    <t>Bgf</t>
  </si>
  <si>
    <t>216</t>
  </si>
  <si>
    <t>Bemex Rekruttering AS</t>
  </si>
  <si>
    <t>Mar 10, 2026</t>
  </si>
  <si>
    <t>Calviks, an investment company, is acquiring Bemex Rekruttering, a Norwegian recruitment and temporary staffing company. The acquisition price is 19.3 million Norwegian Kroner on a debt-free basis, adjusted for net cash and working capital, which is approximately 18.5 million Swedish Kroner. This acquisition aligns with Calviks' strategy to build a Nordic platform in skilled labor provision through acquisitions and organic growth. Bemex Rekruttering is based in Bergen and generated 38 million Norwegian Kroner in revenue and approximately 4 million Norwegian Kroner in EBITDA last year. The transaction is expected to be completed by March 13.</t>
  </si>
  <si>
    <t>Wise Group AB</t>
  </si>
  <si>
    <t>Mar 04, 2026</t>
  </si>
  <si>
    <t>Dahlgren Capital Active Equity AB has agreed to acquire one million shares in Wise Group AB from Stefan Rossi for 20 SEK per share, totaling 20 million SEK. This transaction will make Dahlgren Capital the new main owner of Wise Group, increasing their stake to 27.9% after this acquisition and a previously announced directed new share issue.</t>
  </si>
  <si>
    <t>5</t>
  </si>
  <si>
    <t>Dahlgren Capital</t>
  </si>
  <si>
    <t>SE</t>
  </si>
  <si>
    <t>270</t>
  </si>
  <si>
    <t>Linsco Ltd</t>
  </si>
  <si>
    <t>Nov 12, 2025</t>
  </si>
  <si>
    <t>AMC Private Equity has acquired Linsco, a Nottingham-based construction and civil engineering recruiter. The deal was supported by £6.75 million in funding from Bibby Financial Services and is expected to strengthen AMC's position in the construction recruitment market and accelerate its national expansion plans. Linsco will continue to operate under its existing brand.</t>
  </si>
  <si>
    <t>AMC Private Equity</t>
  </si>
  <si>
    <t>271</t>
  </si>
  <si>
    <t>NetJobs</t>
  </si>
  <si>
    <t>Nov 11, 2025</t>
  </si>
  <si>
    <t>Lane Capital AB agreed to acquire NetJobs Group AB in a reverse merger transaction for approximately SEK 130 million. The consideration includes 155,161,000 shares in NetJobs and a promissory note of SEK 5 million, totaling approximately SEK 131.9 million. After the acquisition, Lane Capital shareholders will hold approximately 82.7% of NetJobs shares.</t>
  </si>
  <si>
    <t>Barchester Healthcare</t>
  </si>
  <si>
    <t>Oct 28, 2025</t>
  </si>
  <si>
    <t>Welltower Inc. acquired Barchester Healthcare, the UK's second-largest nursing home operator, for 5.2 billion. This acquisition includes Barchester's portfolio of over 230 care homes and hospitals, a development pipeline of 21 new projects, and its property holding subsidiary, Limecay. Barchester's management team will remain in place, and operations will continue under the existing name. This deal makes Welltower the largest overseas investor in the UK's social care market.</t>
  </si>
  <si>
    <t>6604</t>
  </si>
  <si>
    <t>Welltower™ Inc. (NYSE:WELL)</t>
  </si>
  <si>
    <t>5817</t>
  </si>
  <si>
    <t>M+C Saatchi Group</t>
  </si>
  <si>
    <t>Oct 21, 2025</t>
  </si>
  <si>
    <t>Harwood Capital Management Group began building an equity stake in M&amp;C Saatchi PLC in December 2020. This was a strategic, open-market stake-building exercise by an activist investor, not a single funding round. Harwood later surpassed the 5% disclosure threshold in late 2024, with its stake reaching approximately 6% by early 2026. The investment is classified as "Opportunistic" and "Engaged Value Investing," targeting M&amp;C Saatchi because it was considered "sufficiently undervalued" after board changes. Harwood has since transitioned into an activist role, advocating for a break-up or piecemeal sale of the agency to unlock value.</t>
  </si>
  <si>
    <t>Harwood Capital Management Ltd</t>
  </si>
  <si>
    <t>1192</t>
  </si>
  <si>
    <t>Gojob</t>
  </si>
  <si>
    <t>Oct 01, 2025</t>
  </si>
  <si>
    <t>Persol Holdings, a company based in Japan, has acquired a majority stake of 85% in GoJob, a French company, for €122 million. This deal values GoJob at €144 million.</t>
  </si>
  <si>
    <t>FR</t>
  </si>
  <si>
    <t>532</t>
  </si>
  <si>
    <t>Russell Taylor Group</t>
  </si>
  <si>
    <t>Sep 30, 2025</t>
  </si>
  <si>
    <t>The businesses and assets of Russell Taylor Group Limited (RTG) and Building Services Recruit Limited (BSR), both insolvent entities, were acquired by RTG Bidco Limited as part of a wider management buyout (MBO) of the Russell Taylor Group's businesses and assets following their entry into administration. The deal preserved 71 jobs.</t>
  </si>
  <si>
    <t>97</t>
  </si>
  <si>
    <t>Davidson</t>
  </si>
  <si>
    <t>Sep 29, 2025</t>
  </si>
  <si>
    <t>Genuit has acquired Davidson, a business known for its leading brands in plumbing and heating sectors, for £49 million. Davidson's brands, including Salamander Pumps, Cistermiser, Talon, and Keraflo, hold strong market positions primarily in the UK's repair, maintenance, and improvement sectors for residential and commercial segments. This acquisition is expected to enhance Genuit's Sustainable Building Solutions (SBS) business unit and leverage Davidson's focus on water-saving solutions.</t>
  </si>
  <si>
    <t>Genuit Group</t>
  </si>
  <si>
    <t>412</t>
  </si>
  <si>
    <t>gap personnel</t>
  </si>
  <si>
    <t>Apr 14, 2025</t>
  </si>
  <si>
    <t>Rcapital has acquired Gap Personnel in a £23.5 million carve-out deal. The acquisition was supported by a funding facility from Secure Trust Bank Commercial Finance (STB CF). Gap Personnel plans to invest in IT infrastructure and operational efficiency under the new ownership.</t>
  </si>
  <si>
    <t>Rcapital</t>
  </si>
  <si>
    <t>BeNext, Open Up Group Inc.</t>
  </si>
  <si>
    <t>681</t>
  </si>
  <si>
    <t>Montico</t>
  </si>
  <si>
    <t>Mar 20, 2025</t>
  </si>
  <si>
    <t>Job Solution Sweden Holding AB (publ) has acquired Montico AB, including some of its subsidiaries. The transaction was financed through a senior secured bond loan of 165 MSEK, which also repaid an existing loan of 30 MSEK from Nordea. Montico Invest AB, the former majority owner, reinvested part of the purchase price by subscribing to new shares in Job Solution for approximately 10 MSEK. The board has withdrawn its dividend proposal due to the bond conditions.</t>
  </si>
  <si>
    <t>Job Solution</t>
  </si>
  <si>
    <t>413</t>
  </si>
  <si>
    <t>Sevenstep</t>
  </si>
  <si>
    <t>Feb 27, 2025</t>
  </si>
  <si>
    <t>Kelly, a leading specialty talent solutions provider, acquired the Sevenstep brand as part of its acquisition of Motion Recruitment Partners in 2024. This acquisition led to the formation of an integrated permanent hiring solutions business line, combining KellyOCG's global RPO specialty with Sevenstep's talent acquisition solutions. Amy Bush, formerly president of Sevenstep, was appointed to lead this new integrated business.</t>
  </si>
  <si>
    <t>Kelly</t>
  </si>
  <si>
    <t>US</t>
  </si>
  <si>
    <t>348</t>
  </si>
  <si>
    <t>Habberstad AS</t>
  </si>
  <si>
    <t>Feb 18, 2025</t>
  </si>
  <si>
    <t>B3 Consulting Group AB acquired a 51% stake in Habberstad As for NOK 15.8 million. Habberstad will continue to operate as a subsidiary with its existing management and branding.</t>
  </si>
  <si>
    <t>B3 Consulting Group</t>
  </si>
  <si>
    <t>65</t>
  </si>
  <si>
    <t>April Six</t>
  </si>
  <si>
    <t>Jan 02, 2025</t>
  </si>
  <si>
    <t>Marketbridge, a US-based marketing and business consulting firm, has acquired April Six Technology &amp; Science from The MISSION Group. This acquisition aims to integrate solutions for marketing and sales leaders, providing seamless, end-to-end marketing growth solutions for B2B and B2C clients globally.</t>
  </si>
  <si>
    <t>Marketbridge</t>
  </si>
  <si>
    <t>The MISSION Group</t>
  </si>
  <si>
    <t>Humanskills</t>
  </si>
  <si>
    <t>Nov 06, 2024</t>
  </si>
  <si>
    <t>B &amp; Capital has acquired a majority stake in Humanskills, a specialist in digital professions. This marks the second buy-out for Humanskills, which had been accompanied by two minority funds for the past five years. The deal size is estimated to be between 15 million and 35 million euros.</t>
  </si>
  <si>
    <t>B &amp; Capital</t>
  </si>
  <si>
    <t>Capital Croissance, Turenne Groupe</t>
  </si>
  <si>
    <t>385</t>
  </si>
  <si>
    <t>Croud</t>
  </si>
  <si>
    <t>Nov 04, 2024</t>
  </si>
  <si>
    <t>ECI Partners has acquired a majority stake in Croud, a global digital marketing agency. This acquisition was funded by a w7.6 million club loan from OakNorth, HSBC, Investec, and Barclays. The aim is to accelerate Croud's growth through further acquisitions and organic expansion.</t>
  </si>
  <si>
    <t>ECI Partners</t>
  </si>
  <si>
    <t>Ldc</t>
  </si>
  <si>
    <t>727</t>
  </si>
  <si>
    <t>W Communications</t>
  </si>
  <si>
    <t>Jul 11, 2024</t>
  </si>
  <si>
    <t>Warren Johnson, founder and CEO of W Communications, sold a majority stake in his 14-year-old consumer agency to an Employee Ownership Trust (EOT). This move is intended to benefit current and future employees and set a foundation for future growth, including potential expansion and acquisitions.</t>
  </si>
  <si>
    <t>80</t>
  </si>
  <si>
    <t>I Mille</t>
  </si>
  <si>
    <t>Jun 26, 2024</t>
  </si>
  <si>
    <t>TXT e-solutions S.p.A. has acquired 100% of the capital of I MILLE Srl, its three foreign subsidiaries (Imille Spain SL, Imille Start Spa (Chile), and Imille Brasil Agencia LTDA), and the agency Uasabi Srl. This acquisition aims to strengthen and diversify TXT's Digital Advisory division, particularly in the MarTech segment, by integrating I MILLE Group's creative consultancy and Uasabi's communication expertise for new generations.</t>
  </si>
  <si>
    <t>Txt Group</t>
  </si>
  <si>
    <t>IT</t>
  </si>
  <si>
    <t>164</t>
  </si>
  <si>
    <t>Textkernel by Bullhorn</t>
  </si>
  <si>
    <t>Jun 19, 2024</t>
  </si>
  <si>
    <t>Main Capital Partners has sold Textkernel, an AI pioneer in recruitment, to Bullhorn for 300 million euros.</t>
  </si>
  <si>
    <t>330</t>
  </si>
  <si>
    <t>Bullhorn</t>
  </si>
  <si>
    <t>Main Capital Partners</t>
  </si>
  <si>
    <t>NL</t>
  </si>
  <si>
    <t>84</t>
  </si>
  <si>
    <t>Zellis</t>
  </si>
  <si>
    <t>Apr 16, 2024</t>
  </si>
  <si>
    <t>Funds advised by private equity firm Apax Partners LLP have reached a definitive agreement to acquire Zellis Group from Bain Capital in a deal worth 1.25bn. Zellis Group is a provider of payroll and HR software services.</t>
  </si>
  <si>
    <t>Apax</t>
  </si>
  <si>
    <t>Bain Capital Ventures (BCV)</t>
  </si>
  <si>
    <t>1524</t>
  </si>
  <si>
    <t>Lunghezza D'Onda S.r.l.</t>
  </si>
  <si>
    <t>Apr 02, 2024</t>
  </si>
  <si>
    <t>Websolute Spa acquired a 70% stake in Lunghezza d'Onda Srl for EUR3.5 million. The deal includes an option for Websolute to purchase the remaining 30% of shares within five years. The acquisition aims to ensure management continuity with the founding partners remaining as managing directors.</t>
  </si>
  <si>
    <t>6</t>
  </si>
  <si>
    <t>Websolute | AI-First Digital Agency</t>
  </si>
  <si>
    <t>7</t>
  </si>
  <si>
    <t>Executive.se</t>
  </si>
  <si>
    <t>Mar 26, 2024</t>
  </si>
  <si>
    <t>Job Solution Sweden Holding AB agreed to acquire Serveoffice and Executive Partners Scandinavia from Hub Of Executives Ab for approximately SEK 6.8 million. The payment includes SEK 1 million in cash, SEK 4.1 million through reverses, and SEK 1.75 million through a new issue of shares. Performance-based additional purchase prices will be paid over three years.</t>
  </si>
  <si>
    <t>hokify</t>
  </si>
  <si>
    <t>Jan 17, 2024</t>
  </si>
  <si>
    <t>karriere.at has acquired hokify, a German and Austrian job platform, for over 40 million euros. The founders of hokify sold all their shares to karriere.at, but hokify will remain entrepreneurially independent with its existing management team.</t>
  </si>
  <si>
    <t>44</t>
  </si>
  <si>
    <t>karriere.at</t>
  </si>
  <si>
    <t>DE</t>
  </si>
  <si>
    <t>60</t>
  </si>
  <si>
    <t>Media Pop</t>
  </si>
  <si>
    <t>Jan 01, 2024</t>
  </si>
  <si>
    <t>LKN Wealth Capital Investors sold its stake in Media Pop, a Singaporean provider of social media applications and campaign management, to Grupa Wirtualna Polska, a group of companies operating in the media and e-commerce sectors. Deloitte Legal advised LKN Wealth Capital Investors, while Brzozowska &amp; Barwinska advised Grupa Wirtualna Polska.</t>
  </si>
  <si>
    <t>9</t>
  </si>
  <si>
    <t>Grupa Wirtualna Polska</t>
  </si>
  <si>
    <t>iWealth</t>
  </si>
  <si>
    <t>SG</t>
  </si>
  <si>
    <t>3</t>
  </si>
  <si>
    <t>Fruition Group</t>
  </si>
  <si>
    <t>Oct 19, 2023</t>
  </si>
  <si>
    <t>Erisbeg, a private equity investor, has acquired a majority stake in Fruition IT and Fruition Consulting, both based in Leeds. The two companies will operate under a single holding company with Eolas Recruitment, another Erisbeg acquisition. Sarah Pawson, the founder of Fruition IT and Fruition Consulting, will retain a significant minority stake in the new holding company.</t>
  </si>
  <si>
    <t>erisbeg</t>
  </si>
  <si>
    <t>86</t>
  </si>
  <si>
    <t>SD Worx</t>
  </si>
  <si>
    <t>Aug 11, 2023</t>
  </si>
  <si>
    <t>CVC, a British investment fund, is investing EUR 400 million into SD Worx, a Flanders-based HR services provider. This investment values SD Worx at EUR 1.77 billion (excluding debt) and will be used by SD Worx to develop more digital applications and complete new acquisitions.</t>
  </si>
  <si>
    <t>440</t>
  </si>
  <si>
    <t>1947</t>
  </si>
  <si>
    <t>Cvc</t>
  </si>
  <si>
    <t>4050</t>
  </si>
  <si>
    <t>Broadbean</t>
  </si>
  <si>
    <t>Jun 14, 2023</t>
  </si>
  <si>
    <t>Veritone is acquiring Broadbean from CareerBuilder for $52 million. This acquisition is expected to create a "very defensible, end-to-end solution" in recruitment technology by combining Broadbean's candidate data and job board network with Veritone's programmatic company, Pandologic.</t>
  </si>
  <si>
    <t>52</t>
  </si>
  <si>
    <t>Veritone</t>
  </si>
  <si>
    <t>CareerBuilder, Apollo Global Management, Inc.</t>
  </si>
  <si>
    <t>167</t>
  </si>
  <si>
    <t>Jellyfish</t>
  </si>
  <si>
    <t>Jun 01, 2023</t>
  </si>
  <si>
    <t>Brandtech Group acquired Jellyfish from Fimalac. This acquisition is part of Brandtech's strategy to expand its digital communication technology empire, bringing its total revenue to over $1 billion and its workforce to over 7,000 employees across 40 countries. Fimalac also became a shareholder in Brandtech as part of the deal.</t>
  </si>
  <si>
    <t>500</t>
  </si>
  <si>
    <t>The Brandtech Group</t>
  </si>
  <si>
    <t>Fimalac</t>
  </si>
  <si>
    <t>2272</t>
  </si>
  <si>
    <t>Oplana Manufacturing Services</t>
  </si>
  <si>
    <t>Apr 28, 2023</t>
  </si>
  <si>
    <t>Job Solution Sweden Holding AB (publ) has agreed to acquire 100% of the shares in Oplana AB from Limstickan AB. The preliminary purchase price is 14.5 MSEK on a cash and debt-free basis, which includes a company valuation of 12.8 MSEK plus adjusted working capital and net cash. The payment will be a combination of cash and shares in Job Solution. The transaction is subject to regulatory approval.</t>
  </si>
  <si>
    <t>2</t>
  </si>
  <si>
    <t>Netum Buutti</t>
  </si>
  <si>
    <t>Aug 10, 2023</t>
  </si>
  <si>
    <t>Netum Group Plc is acquiring the entire share capital of Buutti Oy, an IT service company specializing in IT consulting and software development. This acquisition aligns with Netum's strategy to expand its service offerings, particularly in embedded systems and training, and to grow its corporate customer segment. The deal is expected to close on September 1, 2023.</t>
  </si>
  <si>
    <t>11</t>
  </si>
  <si>
    <t>Netum</t>
  </si>
  <si>
    <t>FI</t>
  </si>
  <si>
    <t>43</t>
  </si>
  <si>
    <t>Lunos</t>
  </si>
  <si>
    <t>May 28, 2023</t>
  </si>
  <si>
    <t>Volution Group plc has acquired Lunos, a Slovenian specialist in ventilation technology, in a deal valued up to €40 million.</t>
  </si>
  <si>
    <t>4</t>
  </si>
  <si>
    <t>Volution Group plc</t>
  </si>
  <si>
    <t>upsource by solutions</t>
  </si>
  <si>
    <t>Mar 20, 2023</t>
  </si>
  <si>
    <t>STC Capital, through its subsidiary solutions by stc, acquired 100% of Contact Centers Company (CCC) for SAR 450 million. This acquisition is part of stc's "DARE 2.0" strategy to expand into the Business Process Outsourcing (BPO) market. The deal was completed on April 3, 2023, and CCC was later rebranded as "Upsource by Solutions" in February 2025.</t>
  </si>
  <si>
    <t>solutions by stc</t>
  </si>
  <si>
    <t>stc, ESM Business Performance</t>
  </si>
  <si>
    <t>4548</t>
  </si>
  <si>
    <t>Blue Arrow</t>
  </si>
  <si>
    <t>Mar 03, 2023</t>
  </si>
  <si>
    <t>Twenty20 Capital acquired seven specialized staffing and workforce solution brands from Impellam PLC, including Blue Arrow, Career Teachers, Global Medics, Medacs Healthcare, Litmus, and Tate, in a strategic acquisition/carve-out. This deal was completed on March 3, 2023, and was supported by a £70 million asset-based lending facility from Close Brothers Invoice Finance. The acquisition added over £600 million in revenue to Twenty20 Capital's portfolio.</t>
  </si>
  <si>
    <t>RSS Global, Twenty20 Capital</t>
  </si>
  <si>
    <t>Impellam Group</t>
  </si>
  <si>
    <t>3503</t>
  </si>
  <si>
    <t>Connex Marketing Group</t>
  </si>
  <si>
    <t>Feb 01, 2023</t>
  </si>
  <si>
    <t>Awardit AB has acquired 100% of Connex Marketing GmbH, a leading Austrian loyalty and gift card company. The total purchase price is approximately 10.7 MEUR, paid partly in cash (7.2 MEUR) and partly in Awardit shares (3.5 MEUR). This acquisition aims to consolidate Awardit's position in the DACH region and expand into CEE countries and the UK.</t>
  </si>
  <si>
    <t>Awardit AB</t>
  </si>
  <si>
    <t>AT</t>
  </si>
  <si>
    <t>107</t>
  </si>
  <si>
    <t>Craftware</t>
  </si>
  <si>
    <t>Jan 16, 2023</t>
  </si>
  <si>
    <t>Craftware, a software development firm utilizing CRM for commercial services, was acquired for $30,274,591. The acquisition was announced on December 7, 2020.</t>
  </si>
  <si>
    <t>Visma</t>
  </si>
  <si>
    <t>Quest Consulting</t>
  </si>
  <si>
    <t>Aug 30, 2022</t>
  </si>
  <si>
    <t>Job Solution Sweden Holding AB has acquired 100% of the shares in Quest Consulting Sverige AB from Qu3st Holding AB. The initial purchase price is 13.6 MSEK on a cash and debt-free basis. Quest Consulting specializes in consulting and interim services within IT, Technology, Administration, HR, and Economics.</t>
  </si>
  <si>
    <t>Qlife</t>
  </si>
  <si>
    <t>PeopleIN</t>
  </si>
  <si>
    <t>Jun 03, 2022</t>
  </si>
  <si>
    <t>PeopleIn (ASX:PPE) is set to acquire FIP (Food Industry People), a workforce solutions business that provides staff to the food sector in Australia, for an upfront consideration of $45 million. This acquisition will increase PeopleIn's participation in the food sector and strengthen its position as the largest ASX-listed recruitment and staffing company in Australia.</t>
  </si>
  <si>
    <t>AU</t>
  </si>
  <si>
    <t>973</t>
  </si>
  <si>
    <t>Regional Workforce Management</t>
  </si>
  <si>
    <t>Peoplein Limited entered into an agreement to acquire FIP Group Holdings Pty Ltd from Elsem Pty Ltd for AUD 70 million. The consideration includes AUD 35 million in cash, AUD 10 million through the issuance of 3,058,104 ordinary shares, and a potential deferred cash consideration of AUD 25 million based on EBITDA growth for FY23 and FY24. The cash component will be debt funded.</t>
  </si>
  <si>
    <t>129</t>
  </si>
  <si>
    <t>Jobzone AS</t>
  </si>
  <si>
    <t>Apr 29, 2022</t>
  </si>
  <si>
    <t>Jobandtalent, a Spain-based digital temporary staffing platform, acquired Jobzone, a Norwegian staffing firm, for approximately 50 million euros. This acquisition aims to strengthen Jobandtalent's position in Scandinavia and provide Jobzone access to its platform.</t>
  </si>
  <si>
    <t>55</t>
  </si>
  <si>
    <t>Job&amp;Talent</t>
  </si>
  <si>
    <t>38</t>
  </si>
  <si>
    <t>Axicom</t>
  </si>
  <si>
    <t>Apr 04, 2022</t>
  </si>
  <si>
    <t>Australian Tower Network (ATN) has agreed to acquire Axicom and its 2,000 telco towers for A$3.58 billion. This acquisition is driven by AustralianSuper, which aims to double its infrastructure portfolio.</t>
  </si>
  <si>
    <t>Australian Networks Pty Ltd, AustralianSuper, Singtel</t>
  </si>
  <si>
    <t>Macquarie Group, Ubs, Abu Dhabi Investment Authority (ADIA)</t>
  </si>
  <si>
    <t>202</t>
  </si>
  <si>
    <t>May 23, 2022</t>
  </si>
  <si>
    <t>Next Fifteen Communications Group acquired M&amp;C Saatchi for $387 million.</t>
  </si>
  <si>
    <t>387</t>
  </si>
  <si>
    <t>Next 15, ADVT Group</t>
  </si>
  <si>
    <t>ROI Rekrytering</t>
  </si>
  <si>
    <t>Feb 02, 2022</t>
  </si>
  <si>
    <t>Poolia AB has acquired 96.5% of Roi Rekrytering Sverige AB, an HR-Tech company that includes the recruitment platform Workspace Recruit. The acquisition is part of Poolia's strategy to expand its services beyond recruitment and staffing to include HR-Tech services.</t>
  </si>
  <si>
    <t>Poolia Executive Search AB</t>
  </si>
  <si>
    <t>8</t>
  </si>
  <si>
    <t>The House of Marketing</t>
  </si>
  <si>
    <t>Jan 09, 2022</t>
  </si>
  <si>
    <t>The House of Marketing was consolidated into the Customer Collective ecosystem in 2021, when Customer Collective was founded. This event was a consolidation/merger that unified existing specialized companies into a new ecosystem.</t>
  </si>
  <si>
    <t>24</t>
  </si>
  <si>
    <t>Customer Collective</t>
  </si>
  <si>
    <t>150</t>
  </si>
  <si>
    <t>Edge Branding</t>
  </si>
  <si>
    <t>Jan 01, 2022</t>
  </si>
  <si>
    <t>Recreate ASA acquired Edge Branding AS in 2022 for approximately 1.7 million NOK. The acquisition was strategic, aiming to integrate in-house creative and marketing services for Recreate's property portfolio and external clients.</t>
  </si>
  <si>
    <t>Recreate</t>
  </si>
  <si>
    <t>21</t>
  </si>
  <si>
    <t>Taylor Hopkinson | Powered by Brunel</t>
  </si>
  <si>
    <t>Dec 08, 2021</t>
  </si>
  <si>
    <t>Brunel has acquired Taylor Hopkinson, a rapidly growing recruitment specialist in the renewable energy market. This acquisition aims to expand Brunel's network and expertise in the renewable energy sector, aligning with its strategy to be a leader in specific segments of the international professional labor market.</t>
  </si>
  <si>
    <t>15</t>
  </si>
  <si>
    <t>Brunel</t>
  </si>
  <si>
    <t>Longacre Group</t>
  </si>
  <si>
    <t>Dsmt</t>
  </si>
  <si>
    <t>Oct 19, 2021</t>
  </si>
  <si>
    <t>Georg Kofler's Social Chain AG has acquired 100 percent of Ralf Dümmel's DS Group for 220.5 million euros. This acquisition aims to combine Social Chain AG's social media marketing expertise with DS Group's consumer goods trading business to build a social commerce platform. Ralf Dümmel will join Social Chain AG's Management Board as Chief Product Officer.</t>
  </si>
  <si>
    <t>Social Chain</t>
  </si>
  <si>
    <t>31</t>
  </si>
  <si>
    <t>Workbuster</t>
  </si>
  <si>
    <t>Jul 09, 2021</t>
  </si>
  <si>
    <t>Viking Growth has acquired Workbuster, a Swedish HR software company specializing in talent acquisition solutions. This acquisition is part of Viking Growth's strategy to build a leading HR tech company in the Nordic region, combining Workbuster's offerings with Grade's talent management solutions.</t>
  </si>
  <si>
    <t>Viking Growth</t>
  </si>
  <si>
    <t>Company</t>
  </si>
  <si>
    <t>Country</t>
  </si>
  <si>
    <t>Date</t>
  </si>
  <si>
    <t>Segment</t>
  </si>
  <si>
    <t>Deal Size (US$M)</t>
  </si>
  <si>
    <t>Valuation (US$M)</t>
  </si>
  <si>
    <t>EV/Sales</t>
  </si>
  <si>
    <t>EV/EBIT</t>
  </si>
  <si>
    <t>Buyer</t>
  </si>
  <si>
    <t>Relevance to Michelscom</t>
  </si>
  <si>
    <t>Metric Search</t>
  </si>
  <si>
    <t>🇬🇧 GB</t>
  </si>
  <si>
    <t>Exec Search</t>
  </si>
  <si>
    <t>N/D</t>
  </si>
  <si>
    <t>⭐⭐ UK executive search agency, 216 employees — similar agency model, good multiples reference</t>
  </si>
  <si>
    <t>NetJobs Group AB</t>
  </si>
  <si>
    <t>🇸🇪 SE</t>
  </si>
  <si>
    <t>Job Board / Recruiting</t>
  </si>
  <si>
    <t>Lane Capital AB</t>
  </si>
  <si>
    <t>⭐⭐ Nordic online recruiting platform — smaller scale, good EV/EBITDA comp</t>
  </si>
  <si>
    <t>Staffing Agency</t>
  </si>
  <si>
    <t>Rcapital (PE)</t>
  </si>
  <si>
    <t>⭐ Staffing agency carve-out — low EV/Sales due to low-margin staffing; PE comp</t>
  </si>
  <si>
    <t>IT Recruitment Agency</t>
  </si>
  <si>
    <t>Erisbeg (PE)</t>
  </si>
  <si>
    <t>⭐⭐ SME recruitment agency, 86 employees — PE acquisition, similar size range</t>
  </si>
  <si>
    <t>🇧🇪 BE</t>
  </si>
  <si>
    <t>HR Software / Services</t>
  </si>
  <si>
    <t>CVC (PE)</t>
  </si>
  <si>
    <t>⭐ Large HR platform — useful upper-end benchmark for tech-enabled HR services multiples</t>
  </si>
  <si>
    <t>🇺🇸 US</t>
  </si>
  <si>
    <t>Recruiting Tech</t>
  </si>
  <si>
    <t>Veritone ← CareerBuilder</t>
  </si>
  <si>
    <t>⭐⭐ Recruitment marketing / job distribution tech; smaller scale but same workflow</t>
  </si>
  <si>
    <t>Source: Inven transaction database · Search view tsv_T2d9dz7hRD · ⭐⭐⭐ = closest peers · ⭐⭐ = directly comparable · ⭐ = broader sector benchmark · N/D = not disclosed</t>
  </si>
  <si>
    <t>🇫🇷 FR</t>
  </si>
  <si>
    <t>Digital Talent Agency</t>
  </si>
  <si>
    <t>B &amp; Capital (PE)</t>
  </si>
  <si>
    <t>⭐⭐ Digital professions talent agency — PE buyout, €15–35M deal, 385 employees</t>
  </si>
  <si>
    <t>Textkernel (Bullhorn)</t>
  </si>
  <si>
    <t>🇳🇱 NL</t>
  </si>
  <si>
    <t>AI Recruiting Software</t>
  </si>
  <si>
    <t>Bullhorn ← Main Capital</t>
  </si>
  <si>
    <t>⭐ AI-powered recruiting software — premium multiples; useful for tech-forward positioning</t>
  </si>
  <si>
    <t>🇩🇪 DE/AT</t>
  </si>
  <si>
    <t>Job Platform</t>
  </si>
  <si>
    <t>⭐⭐ German-Austrian digital job platform, 60 employees — size comparable, same market</t>
  </si>
  <si>
    <t>Bemex Rekruttering</t>
  </si>
  <si>
    <t>🇳🇴 NO</t>
  </si>
  <si>
    <t>Staffing / Recruitment</t>
  </si>
  <si>
    <t>⭐⭐ Small Nordic recruitment firm, 13 employees — very small deal, useful lower-end comp</t>
  </si>
  <si>
    <t>HiOffice Group GmbH</t>
  </si>
  <si>
    <t>🇩🇪 DE</t>
  </si>
  <si>
    <t>Social Recruiting</t>
  </si>
  <si>
    <t>Odewald KMU</t>
  </si>
  <si>
    <t>⭐⭐⭐ Closest peer — German DACH social recruiting agency for blue-collar, 54 employees (PE buyout)</t>
  </si>
  <si>
    <t>milch &amp; zucker GmbH</t>
  </si>
  <si>
    <t>HR Tech / Agency</t>
  </si>
  <si>
    <t>Bertelsmann / EMBRACE</t>
  </si>
  <si>
    <t>⭐⭐⭐ German HR-Tech &amp; HR-Agency combo (recruiting + retention + tech) — near-identical profile</t>
  </si>
  <si>
    <t>QAPA (Adecco)</t>
  </si>
  <si>
    <t>Digital Workforce Platform</t>
  </si>
  <si>
    <t>Adecco</t>
  </si>
  <si>
    <t>⭐⭐ Fully-digital recruitment platform acquired by strategic — high EV/Sales for tech-enabled model</t>
  </si>
  <si>
    <t>Company ID</t>
  </si>
  <si>
    <t>Company name</t>
  </si>
  <si>
    <t>Description</t>
  </si>
  <si>
    <t>Website</t>
  </si>
  <si>
    <t>Employees Count (LinkedIn)</t>
  </si>
  <si>
    <t>Ownership Type</t>
  </si>
  <si>
    <t>Latest revenue (MUSD)</t>
  </si>
  <si>
    <t>Latest revenue 3yr CAGR (2022 - 2025)</t>
  </si>
  <si>
    <t>TEV</t>
  </si>
  <si>
    <t>Reported revenue (M)</t>
  </si>
  <si>
    <t>Latest EBITDA (MUSD)</t>
  </si>
  <si>
    <t>Latest EBITDA %</t>
  </si>
  <si>
    <t>Reported EBITDA (M)</t>
  </si>
  <si>
    <t>Latest EV/Sales</t>
  </si>
  <si>
    <t>Latest EV/EBITDA</t>
  </si>
  <si>
    <t>EV/EBIT Historical EV 2025</t>
  </si>
  <si>
    <t>Latest employee 3yr CAGR (2022 - 2025)</t>
  </si>
  <si>
    <t>Reported EBITDA currency</t>
  </si>
  <si>
    <t>Latest EV/Sales year</t>
  </si>
  <si>
    <t>Latest EV/EBITDA year</t>
  </si>
  <si>
    <t>Financials source</t>
  </si>
  <si>
    <t>FX rate</t>
  </si>
  <si>
    <t>FX date</t>
  </si>
  <si>
    <t>Grupa Pracuj</t>
  </si>
  <si>
    <t>Grupa Pracuj is an HR Tech company that connects job seekers with employers and provides recruitment and employee development services. They offer innovative solutions, including AI-driven job matching, to help businesses streamline their hiring processes. Their clients range from small enterprises to large corporations across various industries, seeking effective talent acquisition and management strategies.</t>
  </si>
  <si>
    <t>Poland</t>
  </si>
  <si>
    <t>http://pracujwgp.pl</t>
  </si>
  <si>
    <t>Public</t>
  </si>
  <si>
    <t>USD</t>
  </si>
  <si>
    <t>Public reported FY2025 (Stock exchange)</t>
  </si>
  <si>
    <t>Amadeus Fire</t>
  </si>
  <si>
    <t>Amadeus Fire is a staffing agency specializing in recruitment and placement services in the commercial and IT sectors. They connect businesses with qualified candidates, offering services such as interim management and IT freelancing. Their clientele includes various companies seeking efficient hiring solutions. With over 20 locations across Germany, they leverage their regional presence to understand local job markets better.</t>
  </si>
  <si>
    <t>Germany</t>
  </si>
  <si>
    <t>http://amadeus-fire.de</t>
  </si>
  <si>
    <t>Eezy Oyj</t>
  </si>
  <si>
    <t>Eezy is a staffing agency that provides a range of employment services, including personnel leasing, recruitment, and training. The company serves both businesses and individuals, facilitating job placements and workforce management. With a focus on various industries, Eezy aims to connect job seekers with suitable employment opportunities while assisting companies in finding qualified personnel.</t>
  </si>
  <si>
    <t>Finland</t>
  </si>
  <si>
    <t>http://eezy.fi</t>
  </si>
  <si>
    <t>FDM Group</t>
  </si>
  <si>
    <t>FDM Group is a consulting firm specializing in tech and business talent solutions. They provide training and development programs to help individuals build careers in technology while assisting businesses in enhancing productivity and innovation through skilled talent. Their services include consulting and project delivery, focusing on bridging the digital skills gap for their clients.</t>
  </si>
  <si>
    <t>United Kingdom (UK)</t>
  </si>
  <si>
    <t>http://fdmgroup.com</t>
  </si>
  <si>
    <t>Ogunsen AB</t>
  </si>
  <si>
    <t>Ogunsen AB is a consulting and recruitment firm specializing in providing expert services in talent acquisition and management. They focus on helping organizations find qualified specialists and leaders, particularly in finance and related fields. With a commitment to sustainability and diversity, Ogunsen aims to enhance the effectiveness of their clients' workforce and contribute to a more inclusive labor market.</t>
  </si>
  <si>
    <t>Sweden</t>
  </si>
  <si>
    <t>http://ogunsen.se</t>
  </si>
  <si>
    <t>PageGroup</t>
  </si>
  <si>
    <t>PageGroup is a recruitment agency specializing in providing talent solutions for organizations. They offer services such as executive search and recruitment outsourcing, helping businesses find qualified candidates across various industries. With a global presence, PageGroup focuses on changing lives by connecting people with job opportunities.</t>
  </si>
  <si>
    <t>http://page.com</t>
  </si>
  <si>
    <t>Robert Walters</t>
  </si>
  <si>
    <t>Robert Walters is a recruitment agency that specializes in connecting businesses with top talent across various sectors including accounting, finance, legal, and technology. The company provides tailored recruitment solutions and talent advisory services to help organizations find the right candidates and assist individuals in their job search. With a strong presence in the UK, Robert Walters operates through multiple offices to serve its clients effectively.</t>
  </si>
  <si>
    <t>http://robertwalters.co.uk</t>
  </si>
  <si>
    <t>Hays</t>
  </si>
  <si>
    <t>Hays is a recruitment agency specializing in qualified, professional, and skilled recruitment. The company connects jobseekers with employers across various industries, providing services such as recruitment process outsourcing and executive search. With a global presence and a diverse range of expertise, Hays supports both candidates and businesses in navigating the labor market effectively.</t>
  </si>
  <si>
    <t>http://haysplc.com</t>
  </si>
  <si>
    <t>Brunel is a recruitment agency specializing in workforce solutions across various industries including Conventional Energy, Mining, and Life Sciences. The company connects skilled professionals with businesses seeking talent, offering services such as contract hire, direct hire, and consulting solutions. Brunel operates globally, providing tailored support to enhance operational efficiency for its clients.</t>
  </si>
  <si>
    <t>Netherlands</t>
  </si>
  <si>
    <t>http://brunel.net</t>
  </si>
  <si>
    <t>NGS Group</t>
  </si>
  <si>
    <t>NGS Group AB is a recruitment agency specializing in executive search, staffing, and interim management services. They cater to businesses and organizations in various sectors, including healthcare and social services, by providing expert recruitment solutions to meet their staffing needs. NGS Group operates through a network of specialists and has a strong presence in the Nordic market.</t>
  </si>
  <si>
    <t>http://ngsgroup.se</t>
  </si>
  <si>
    <t>PION Group AB</t>
  </si>
  <si>
    <t>PION Group AB is a consulting and recruitment firm that specializes in maximizing organizational performance through strategic consulting and skilled recruitment services. They operate under various brands, providing expertise in IT, tech, and human resources to businesses and organizations across Sweden, Norway, and Finland.</t>
  </si>
  <si>
    <t>http://piongroup.se</t>
  </si>
  <si>
    <t>Ework Group</t>
  </si>
  <si>
    <t>Ework Group is a talent solutions provider specializing in connecting businesses with skilled professionals across various industries. They offer services such as consulting, recruitment, and total talent management, helping organizations optimize their workforce and project execution. With a strong network of professionals, Ework Group supports clients in navigating the complexities of talent acquisition and management.</t>
  </si>
  <si>
    <t>http://eworkgroup.com</t>
  </si>
  <si>
    <t>Randstad</t>
  </si>
  <si>
    <t>Randstad is an HR services company that specializes in staffing solutions and workforce management. It connects businesses with qualified talent across various industries, including logistics, healthcare, and professional services. Randstad offers services such as temporary staffing, permanent recruitment, and HR consulting to help organizations manage their workforce effectively.</t>
  </si>
  <si>
    <t>http://randstad.com</t>
  </si>
  <si>
    <t>Adecco is a recruitment agency that specializes in staffing solutions for businesses and job seekers. The company offers services such as temporary and permanent placement, training, and outsourcing to help organizations manage their workforce effectively. Adecco serves a diverse range of industries, providing tailored solutions to meet the unique needs of its clients.</t>
  </si>
  <si>
    <t>Switzerland</t>
  </si>
  <si>
    <t>http://adecco.com</t>
  </si>
  <si>
    <t>Synergie France</t>
  </si>
  <si>
    <t>Synergie is an employment agency specializing in temporary staffing, recruitment, and HR consulting services. They serve businesses across various sectors, providing tailored solutions for workforce management and recruitment challenges. With a network of agencies, Synergie connects qualified candidates with job opportunities while supporting companies in their hiring processes.</t>
  </si>
  <si>
    <t>France</t>
  </si>
  <si>
    <t>http://synergie.fr</t>
  </si>
  <si>
    <t>Staffline Recruitment Limited</t>
  </si>
  <si>
    <t>Staffline Recruitment Limited is a recruitment agency that specializes in providing staffing solutions for various industries, including logistics, manufacturing, and food production. The company connects businesses with qualified candidates for temporary, permanent, and fixed-term positions, addressing the workforce needs of its clients. Staffline operates through a network of branches and onsite services across the UK and Ireland.</t>
  </si>
  <si>
    <t>http://staffline.co.uk</t>
  </si>
  <si>
    <t>Empresaria Group plc is a staffing agency that operates across six diversified sectors, including Professional, IT, Healthcare, and Offshore Services. The company provides tailored recruitment solutions to businesses, helping them find exceptional talent to meet their operational needs. With a presence in multiple countries, Empresaria is committed to positively impacting the lives of people through its staffing services.</t>
  </si>
  <si>
    <t>http://empresaria.com</t>
  </si>
  <si>
    <t>Gattaca</t>
  </si>
  <si>
    <t>Gattaca PLC is a recruitment agency specializing in STEM sectors, providing talent solutions for engineering and technology companies. They help businesses tackle workforce challenges by connecting them with skilled professionals. Gattaca operates in various industries, including aerospace and energy, and focuses on delivering project management and consulting services to meet client needs.</t>
  </si>
  <si>
    <t>http://gattacaplc.com</t>
  </si>
  <si>
    <t>Freelance.com</t>
  </si>
  <si>
    <t>Freelance.com is a talent management service that connects businesses with freelancers and small to medium enterprises. It offers solutions for sourcing talent, managing payroll, and providing administrative support, catering to the needs of organizations seeking flexible workforce solutions. The company operates a digital platform that facilitates project management and training services for its users.</t>
  </si>
  <si>
    <t>http://freelance.com</t>
  </si>
  <si>
    <t>RTC Group Plc</t>
  </si>
  <si>
    <t>RTC Group Plc is a recruitment agency that specializes in providing staffing solutions for both white and blue-collar positions across various sectors, including engineering, construction, and transportation. The company operates through its brands, such as ATA Recruitment and Ganymede, to deliver tailored recruitment services to businesses and organizations in need of qualified personnel.</t>
  </si>
  <si>
    <t>http://rtcgroupplc.co.uk</t>
  </si>
  <si>
    <t>SThree</t>
  </si>
  <si>
    <t>SThree is a consultancy specializing in STEM workforce solutions, connecting skilled professionals with organizations in need of expertise in science, technology, engineering, and mathematics. The company operates through various specialist brands, providing recruitment and strategic consulting services to businesses across multiple sectors, including life sciences and financial services.</t>
  </si>
  <si>
    <t>http://sthree.com</t>
  </si>
  <si>
    <t>Additional Transactions</t>
  </si>
  <si>
    <t>Main Comparable Transactions</t>
  </si>
  <si>
    <t>Main Comparable Companies</t>
  </si>
  <si>
    <t>Additional Comparable Companies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</si>
</sst>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_-;\-* #,##0.0_-;_-* &quot;-&quot;??_-;_-@_-"/>
    <numFmt numFmtId="165" formatCode="_-* #,##0_-;\-* #,##0_-;_-* &quot;-&quot;??_-;_-@_-"/>
    <numFmt numFmtId="166" formatCode="0.0&quot;x&quot;"/>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1"/>
      <color rgb="FFFFFFFF"/>
      <name val="Calibri"/>
      <family val="2"/>
      <scheme val="minor"/>
    </font>
    <font>
      <b/>
      <sz val="10"/>
      <color rgb="FFFFFFFF"/>
      <name val="Arial"/>
      <family val="2"/>
    </font>
    <font>
      <sz val="10"/>
      <color theme="1"/>
      <name val="Calibri"/>
      <family val="2"/>
      <scheme val="minor"/>
    </font>
    <font>
      <b/>
      <sz val="10"/>
      <color rgb="FF201E1C"/>
      <name val="Arial"/>
      <family val="2"/>
    </font>
    <font>
      <sz val="10"/>
      <color rgb="FF201E1C"/>
      <name val="Arial"/>
      <family val="2"/>
    </font>
    <font>
      <sz val="10"/>
      <color rgb="FF7A5000"/>
      <name val="Arial"/>
      <family val="2"/>
    </font>
    <font>
      <sz val="10"/>
      <name val="Arial"/>
      <family val="2"/>
    </font>
    <font>
      <sz val="10"/>
      <color rgb="FF0E3270"/>
      <name val="Arial"/>
      <family val="2"/>
    </font>
    <font>
      <sz val="10"/>
      <color rgb="FF4A148C"/>
      <name val="Arial"/>
      <family val="2"/>
    </font>
    <font>
      <sz val="10"/>
      <color rgb="FF1464C8"/>
      <name val="Arial"/>
      <family val="2"/>
    </font>
    <font>
      <sz val="10"/>
      <color rgb="FF7E7A77"/>
      <name val="Arial"/>
      <family val="2"/>
    </font>
    <font>
      <sz val="10"/>
      <color rgb="FF1A6630"/>
      <name val="Arial"/>
      <family val="2"/>
    </font>
    <font>
      <u/>
      <sz val="11"/>
      <color theme="1"/>
      <name val="Calibri"/>
      <family val="2"/>
      <scheme val="minor"/>
    </font>
  </fonts>
  <fills count="8">
    <fill>
      <patternFill patternType="none"/>
    </fill>
    <fill>
      <patternFill patternType="gray125"/>
    </fill>
    <fill>
      <patternFill patternType="solid">
        <fgColor rgb="FF002060"/>
        <bgColor indexed="64"/>
      </patternFill>
    </fill>
    <fill>
      <patternFill patternType="solid">
        <fgColor rgb="FF201E1C"/>
        <bgColor rgb="FF201E1C"/>
      </patternFill>
    </fill>
    <fill>
      <patternFill patternType="solid">
        <fgColor theme="6" tint="0.79998168889431442"/>
        <bgColor indexed="64"/>
      </patternFill>
    </fill>
    <fill>
      <patternFill patternType="solid">
        <fgColor rgb="FFFFE699"/>
        <bgColor indexed="64"/>
      </patternFill>
    </fill>
    <fill>
      <patternFill patternType="solid">
        <fgColor rgb="FF1464C8"/>
        <bgColor indexed="64"/>
      </patternFill>
    </fill>
    <fill>
      <patternFill patternType="solid">
        <fgColor theme="0" tint="-0.14999847407452621"/>
        <bgColor indexed="64"/>
      </patternFill>
    </fill>
  </fills>
  <borders count="3">
    <border>
      <left/>
      <right/>
      <top/>
      <bottom/>
      <diagonal/>
    </border>
    <border>
      <left/>
      <right/>
      <top style="thin">
        <color indexed="64"/>
      </top>
      <bottom style="medium">
        <color indexed="64"/>
      </bottom>
      <diagonal/>
    </border>
    <border>
      <left style="thin">
        <color rgb="FF344054"/>
      </left>
      <right style="thin">
        <color rgb="FF344054"/>
      </right>
      <top style="thin">
        <color rgb="FF344054"/>
      </top>
      <bottom style="thin">
        <color rgb="FF344054"/>
      </bottom>
      <diagonal/>
    </border>
  </borders>
  <cellStyleXfs count="2">
    <xf numFmtId="0" fontId="0" fillId="0" borderId="0"/>
    <xf numFmtId="43" fontId="1" fillId="0" borderId="0" applyFont="0" applyFill="0" applyBorder="0" applyAlignment="0" applyProtection="0"/>
  </cellStyleXfs>
  <cellXfs count="56">
    <xf numFmtId="0" fontId="0" fillId="0" borderId="0" xfId="0"/>
    <xf numFmtId="0" fontId="2" fillId="0" borderId="0" xfId="0" applyFont="1"/>
    <xf numFmtId="0" fontId="3" fillId="2" borderId="0" xfId="0" applyFont="1" applyFill="1"/>
    <xf numFmtId="164" fontId="0" fillId="0" borderId="0" xfId="1" applyNumberFormat="1" applyFont="1"/>
    <xf numFmtId="0" fontId="0" fillId="0" borderId="1" xfId="0" applyBorder="1"/>
    <xf numFmtId="164" fontId="0" fillId="0" borderId="1" xfId="1" applyNumberFormat="1" applyFont="1" applyBorder="1"/>
    <xf numFmtId="0" fontId="0" fillId="2" borderId="0" xfId="0" applyFill="1"/>
    <xf numFmtId="0" fontId="4" fillId="3" borderId="0" xfId="0" applyFont="1" applyFill="1"/>
    <xf numFmtId="0" fontId="4" fillId="3" borderId="0" xfId="0" applyFont="1" applyFill="1" applyAlignment="1">
      <alignment wrapText="1"/>
    </xf>
    <xf numFmtId="0" fontId="4" fillId="3" borderId="0" xfId="0" applyFont="1" applyFill="1" applyAlignment="1">
      <alignment horizontal="right"/>
    </xf>
    <xf numFmtId="17" fontId="0" fillId="0" borderId="0" xfId="0" applyNumberFormat="1"/>
    <xf numFmtId="0" fontId="0" fillId="0" borderId="0" xfId="0" applyAlignment="1">
      <alignment wrapText="1"/>
    </xf>
    <xf numFmtId="165" fontId="0" fillId="0" borderId="0" xfId="1" applyNumberFormat="1" applyFont="1" applyBorder="1" applyAlignment="1">
      <alignment horizontal="right"/>
    </xf>
    <xf numFmtId="164" fontId="0" fillId="0" borderId="0" xfId="1" applyNumberFormat="1" applyFont="1" applyBorder="1" applyAlignment="1">
      <alignment horizontal="right"/>
    </xf>
    <xf numFmtId="43" fontId="0" fillId="0" borderId="0" xfId="1" applyFont="1" applyBorder="1" applyAlignment="1">
      <alignment horizontal="right"/>
    </xf>
    <xf numFmtId="0" fontId="0" fillId="4" borderId="0" xfId="0" applyFill="1"/>
    <xf numFmtId="0" fontId="0" fillId="5" borderId="0" xfId="0" applyFill="1"/>
    <xf numFmtId="17" fontId="0" fillId="5" borderId="0" xfId="0" applyNumberFormat="1" applyFill="1"/>
    <xf numFmtId="0" fontId="0" fillId="5" borderId="0" xfId="0" applyFill="1" applyAlignment="1">
      <alignment wrapText="1"/>
    </xf>
    <xf numFmtId="164" fontId="0" fillId="5" borderId="0" xfId="1" applyNumberFormat="1" applyFont="1" applyFill="1" applyBorder="1" applyAlignment="1">
      <alignment horizontal="right"/>
    </xf>
    <xf numFmtId="0" fontId="0" fillId="4" borderId="0" xfId="0" applyFill="1" applyAlignment="1">
      <alignment wrapText="1"/>
    </xf>
    <xf numFmtId="164" fontId="0" fillId="4" borderId="0" xfId="1" applyNumberFormat="1" applyFont="1" applyFill="1" applyBorder="1" applyAlignment="1">
      <alignment horizontal="right"/>
    </xf>
    <xf numFmtId="0" fontId="0" fillId="0" borderId="0" xfId="0" applyAlignment="1">
      <alignment horizontal="right"/>
    </xf>
    <xf numFmtId="0" fontId="5" fillId="6" borderId="0" xfId="0" applyFont="1" applyFill="1" applyAlignment="1">
      <alignment horizontal="left" vertical="center"/>
    </xf>
    <xf numFmtId="0" fontId="5" fillId="6" borderId="0" xfId="0" applyFont="1" applyFill="1" applyAlignment="1">
      <alignment horizontal="right" vertical="center"/>
    </xf>
    <xf numFmtId="0" fontId="6" fillId="0" borderId="0" xfId="0" applyFont="1"/>
    <xf numFmtId="0" fontId="7" fillId="0" borderId="0" xfId="0" applyFont="1" applyAlignment="1">
      <alignment vertical="top" wrapText="1"/>
    </xf>
    <xf numFmtId="0" fontId="8" fillId="0" borderId="0" xfId="0" applyFont="1" applyAlignment="1">
      <alignment vertical="top" wrapText="1"/>
    </xf>
    <xf numFmtId="17" fontId="8" fillId="0" borderId="0" xfId="0" applyNumberFormat="1" applyFont="1" applyAlignment="1">
      <alignment vertical="top" wrapText="1"/>
    </xf>
    <xf numFmtId="0" fontId="9" fillId="0" borderId="0" xfId="0" applyFont="1" applyAlignment="1">
      <alignment vertical="top" wrapText="1"/>
    </xf>
    <xf numFmtId="0" fontId="10" fillId="0" borderId="0" xfId="0" applyFont="1" applyAlignment="1">
      <alignment horizontal="right" vertical="top" wrapText="1"/>
    </xf>
    <xf numFmtId="0" fontId="10" fillId="0" borderId="0" xfId="0" applyFont="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3" fontId="10" fillId="0" borderId="0" xfId="0" applyNumberFormat="1" applyFont="1" applyAlignment="1">
      <alignment horizontal="right" vertical="top" wrapText="1"/>
    </xf>
    <xf numFmtId="0" fontId="7" fillId="7" borderId="0" xfId="0" applyFont="1" applyFill="1" applyAlignment="1">
      <alignment vertical="top" wrapText="1"/>
    </xf>
    <xf numFmtId="0" fontId="8" fillId="7" borderId="0" xfId="0" applyFont="1" applyFill="1" applyAlignment="1">
      <alignment vertical="top" wrapText="1"/>
    </xf>
    <xf numFmtId="17" fontId="8" fillId="7" borderId="0" xfId="0" applyNumberFormat="1" applyFont="1" applyFill="1" applyAlignment="1">
      <alignment vertical="top" wrapText="1"/>
    </xf>
    <xf numFmtId="0" fontId="12" fillId="7" borderId="0" xfId="0" applyFont="1" applyFill="1" applyAlignment="1">
      <alignment vertical="top" wrapText="1"/>
    </xf>
    <xf numFmtId="3" fontId="10" fillId="7" borderId="0" xfId="0" applyNumberFormat="1" applyFont="1" applyFill="1" applyAlignment="1">
      <alignment horizontal="right" vertical="top" wrapText="1"/>
    </xf>
    <xf numFmtId="0" fontId="10" fillId="7" borderId="0" xfId="0" applyFont="1" applyFill="1" applyAlignment="1">
      <alignment horizontal="right" vertical="top" wrapText="1"/>
    </xf>
    <xf numFmtId="0" fontId="10" fillId="7" borderId="0" xfId="0" applyFont="1" applyFill="1" applyAlignment="1">
      <alignment vertical="top" wrapText="1"/>
    </xf>
    <xf numFmtId="164" fontId="10" fillId="7" borderId="0" xfId="1" applyNumberFormat="1" applyFont="1" applyFill="1" applyBorder="1" applyAlignment="1">
      <alignment horizontal="right" vertical="top" wrapText="1"/>
    </xf>
    <xf numFmtId="3" fontId="13" fillId="0" borderId="0" xfId="0" applyNumberFormat="1" applyFont="1" applyAlignment="1">
      <alignment horizontal="right" vertical="top" wrapText="1"/>
    </xf>
    <xf numFmtId="0" fontId="14" fillId="0" borderId="0" xfId="0" applyFont="1" applyAlignment="1">
      <alignment horizontal="right" vertical="top" wrapText="1"/>
    </xf>
    <xf numFmtId="0" fontId="13" fillId="0" borderId="0" xfId="0" applyFont="1" applyAlignment="1">
      <alignment horizontal="right" vertical="top" wrapText="1"/>
    </xf>
    <xf numFmtId="0" fontId="14" fillId="0" borderId="0" xfId="0" applyFont="1" applyAlignment="1">
      <alignment vertical="center" wrapText="1"/>
    </xf>
    <xf numFmtId="0" fontId="15" fillId="0" borderId="0" xfId="0" applyFont="1" applyAlignment="1">
      <alignment vertical="top" wrapText="1"/>
    </xf>
    <xf numFmtId="0" fontId="4" fillId="3" borderId="2" xfId="0" applyFont="1" applyFill="1" applyBorder="1"/>
    <xf numFmtId="0" fontId="0" fillId="0" borderId="2" xfId="0" applyBorder="1"/>
    <xf numFmtId="0" fontId="16" fillId="0" borderId="2" xfId="0" applyFont="1" applyBorder="1"/>
    <xf numFmtId="164" fontId="0" fillId="0" borderId="2" xfId="1" applyNumberFormat="1" applyFont="1" applyBorder="1"/>
    <xf numFmtId="10" fontId="0" fillId="0" borderId="2" xfId="0" applyNumberFormat="1" applyBorder="1"/>
    <xf numFmtId="166" fontId="0" fillId="0" borderId="2" xfId="1" applyNumberFormat="1" applyFont="1" applyBorder="1"/>
    <xf numFmtId="0" fontId="0" fillId="7" borderId="0" xfId="0" applyFill="1"/>
    <xf numFmtId="166" fontId="0" fillId="7" borderId="0" xfId="1" applyNumberFormat="1" applyFont="1" applyFill="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taresteam.sharepoint.com/sites/MUCEngagements2026/Freigegebene%20Dokumente/Michelscom/03%20Output/Michelscom%20Analysis.xlsx" TargetMode="External"/><Relationship Id="rId1" Type="http://schemas.openxmlformats.org/officeDocument/2006/relationships/externalLinkPath" Target="https://ataresteam.sharepoint.com/sites/MUCEngagements2026/Freigegebene%20Dokumente/Michelscom/03%20Output/Michelscom%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luation"/>
      <sheetName val="Precedent Transactions&gt;&gt;&gt;"/>
      <sheetName val="Transactions"/>
      <sheetName val="Relevant Transactions"/>
      <sheetName val="Comparable Companies&gt;&gt;&gt;"/>
      <sheetName val="Companies"/>
      <sheetName val="Comps Multiple Trend"/>
      <sheetName val="Buyer Universe&gt;&gt;&gt;"/>
      <sheetName val="Strategic Buyers"/>
      <sheetName val="Financial Sponsors"/>
    </sheetNames>
    <sheetDataSet>
      <sheetData sheetId="0" refreshError="1"/>
      <sheetData sheetId="1" refreshError="1"/>
      <sheetData sheetId="2" refreshError="1"/>
      <sheetData sheetId="3" refreshError="1"/>
      <sheetData sheetId="4" refreshError="1"/>
      <sheetData sheetId="5" refreshError="1"/>
      <sheetData sheetId="6">
        <row r="18">
          <cell r="C18">
            <v>2021</v>
          </cell>
          <cell r="D18">
            <v>2022</v>
          </cell>
          <cell r="E18">
            <v>2023</v>
          </cell>
          <cell r="F18">
            <v>2024</v>
          </cell>
          <cell r="G18">
            <v>2025</v>
          </cell>
        </row>
        <row r="19">
          <cell r="B19" t="str">
            <v>EV/Revenue</v>
          </cell>
          <cell r="C19">
            <v>1.9829916666666669</v>
          </cell>
          <cell r="D19">
            <v>1.0298</v>
          </cell>
          <cell r="E19">
            <v>1.0244000000000002</v>
          </cell>
          <cell r="F19">
            <v>0.86007692307692296</v>
          </cell>
          <cell r="G19">
            <v>0.70723076923076933</v>
          </cell>
        </row>
        <row r="20">
          <cell r="B20" t="str">
            <v>EV/EBITDA</v>
          </cell>
          <cell r="C20">
            <v>12.376276923076924</v>
          </cell>
          <cell r="D20">
            <v>8.5398230769230778</v>
          </cell>
          <cell r="E20">
            <v>7.808923076923076</v>
          </cell>
          <cell r="F20">
            <v>9.1334384615384625</v>
          </cell>
          <cell r="G20">
            <v>10.851938461538461</v>
          </cell>
        </row>
        <row r="21">
          <cell r="B21" t="str">
            <v>EV/EBIT</v>
          </cell>
          <cell r="C21">
            <v>15.702184615384615</v>
          </cell>
          <cell r="D21">
            <v>11.434376923076922</v>
          </cell>
          <cell r="E21">
            <v>12.038338461538462</v>
          </cell>
          <cell r="F21">
            <v>17.542938461538462</v>
          </cell>
          <cell r="G21">
            <v>18.320430769230772</v>
          </cell>
        </row>
      </sheetData>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8" Type="http://schemas.openxmlformats.org/officeDocument/2006/relationships/hyperlink" Target="http://sthree.com/" TargetMode="External"/><Relationship Id="rId13" Type="http://schemas.openxmlformats.org/officeDocument/2006/relationships/hyperlink" Target="http://piongroup.se/" TargetMode="External"/><Relationship Id="rId18" Type="http://schemas.openxmlformats.org/officeDocument/2006/relationships/hyperlink" Target="http://synergie.fr/" TargetMode="External"/><Relationship Id="rId3" Type="http://schemas.openxmlformats.org/officeDocument/2006/relationships/hyperlink" Target="http://eezy.fi/" TargetMode="External"/><Relationship Id="rId21" Type="http://schemas.openxmlformats.org/officeDocument/2006/relationships/hyperlink" Target="http://rtcgroupplc.co.uk/" TargetMode="External"/><Relationship Id="rId7" Type="http://schemas.openxmlformats.org/officeDocument/2006/relationships/hyperlink" Target="http://robertwalters.co.uk/" TargetMode="External"/><Relationship Id="rId12" Type="http://schemas.openxmlformats.org/officeDocument/2006/relationships/hyperlink" Target="http://ngsgroup.se/" TargetMode="External"/><Relationship Id="rId17" Type="http://schemas.openxmlformats.org/officeDocument/2006/relationships/hyperlink" Target="http://adecco.com/" TargetMode="External"/><Relationship Id="rId2" Type="http://schemas.openxmlformats.org/officeDocument/2006/relationships/hyperlink" Target="http://amadeus-fire.de/" TargetMode="External"/><Relationship Id="rId16" Type="http://schemas.openxmlformats.org/officeDocument/2006/relationships/hyperlink" Target="http://randstad.com/" TargetMode="External"/><Relationship Id="rId20" Type="http://schemas.openxmlformats.org/officeDocument/2006/relationships/hyperlink" Target="http://empresaria.com/" TargetMode="External"/><Relationship Id="rId1" Type="http://schemas.openxmlformats.org/officeDocument/2006/relationships/hyperlink" Target="http://pracujwgp.pl/" TargetMode="External"/><Relationship Id="rId6" Type="http://schemas.openxmlformats.org/officeDocument/2006/relationships/hyperlink" Target="http://page.com/" TargetMode="External"/><Relationship Id="rId11" Type="http://schemas.openxmlformats.org/officeDocument/2006/relationships/hyperlink" Target="http://gattacaplc.com/" TargetMode="External"/><Relationship Id="rId5" Type="http://schemas.openxmlformats.org/officeDocument/2006/relationships/hyperlink" Target="http://ogunsen.se/" TargetMode="External"/><Relationship Id="rId15" Type="http://schemas.openxmlformats.org/officeDocument/2006/relationships/hyperlink" Target="http://freelance.com/" TargetMode="External"/><Relationship Id="rId10" Type="http://schemas.openxmlformats.org/officeDocument/2006/relationships/hyperlink" Target="http://brunel.net/" TargetMode="External"/><Relationship Id="rId19" Type="http://schemas.openxmlformats.org/officeDocument/2006/relationships/hyperlink" Target="http://staffline.co.uk/" TargetMode="External"/><Relationship Id="rId4" Type="http://schemas.openxmlformats.org/officeDocument/2006/relationships/hyperlink" Target="http://fdmgroup.com/" TargetMode="External"/><Relationship Id="rId9" Type="http://schemas.openxmlformats.org/officeDocument/2006/relationships/hyperlink" Target="http://haysplc.com/" TargetMode="External"/><Relationship Id="rId14" Type="http://schemas.openxmlformats.org/officeDocument/2006/relationships/hyperlink" Target="http://eworkgrou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C8DC0-2F8F-40FF-B5FA-41B1973A316D}">
  <sheetPr codeName="Sheet2"/>
  <dimension ref="B4:F16"/>
  <sheetViews>
    <sheetView showGridLines="0" workbookViewId="0">
      <selection activeCell="E23" sqref="E23"/>
    </sheetView>
  </sheetViews>
  <sheetFormatPr defaultRowHeight="14.4" x14ac:dyDescent="0.55000000000000004"/>
  <cols>
    <col min="2" max="2" width="22.26171875" customWidth="1"/>
  </cols>
  <sheetData>
    <row r="4" spans="2:6" x14ac:dyDescent="0.55000000000000004">
      <c r="B4" s="1" t="s">
        <v>0</v>
      </c>
    </row>
    <row r="5" spans="2:6" x14ac:dyDescent="0.55000000000000004">
      <c r="B5" s="2" t="s">
        <v>1</v>
      </c>
      <c r="C5" s="2" t="s">
        <v>2</v>
      </c>
      <c r="D5" s="2" t="s">
        <v>3</v>
      </c>
      <c r="E5" s="2" t="s">
        <v>4</v>
      </c>
      <c r="F5" s="2" t="s">
        <v>5</v>
      </c>
    </row>
    <row r="6" spans="2:6" x14ac:dyDescent="0.55000000000000004">
      <c r="B6" t="s">
        <v>6</v>
      </c>
      <c r="C6" s="3">
        <v>2.62</v>
      </c>
      <c r="D6" s="3">
        <v>2.62</v>
      </c>
      <c r="E6" s="3">
        <v>2.62</v>
      </c>
      <c r="F6" s="3">
        <v>2.62</v>
      </c>
    </row>
    <row r="7" spans="2:6" x14ac:dyDescent="0.55000000000000004">
      <c r="B7" t="s">
        <v>7</v>
      </c>
      <c r="C7" s="3">
        <f>Companies!S19</f>
        <v>7.024</v>
      </c>
      <c r="D7" s="3">
        <f>Companies!S20</f>
        <v>9.3032000000000004</v>
      </c>
      <c r="E7" s="3">
        <f>Companies!S22</f>
        <v>10.822171428571426</v>
      </c>
      <c r="F7" s="3">
        <f>Companies!S21</f>
        <v>18.777100000000001</v>
      </c>
    </row>
    <row r="8" spans="2:6" ht="14.7" thickBot="1" x14ac:dyDescent="0.6">
      <c r="B8" s="4" t="s">
        <v>8</v>
      </c>
      <c r="C8" s="5">
        <f>C6*C7</f>
        <v>18.40288</v>
      </c>
      <c r="D8" s="5">
        <f t="shared" ref="D8:F8" si="0">D6*D7</f>
        <v>24.374384000000003</v>
      </c>
      <c r="E8" s="5">
        <f t="shared" si="0"/>
        <v>28.354089142857138</v>
      </c>
      <c r="F8" s="5">
        <f t="shared" si="0"/>
        <v>49.196002000000007</v>
      </c>
    </row>
    <row r="11" spans="2:6" x14ac:dyDescent="0.55000000000000004">
      <c r="B11" s="1" t="s">
        <v>9</v>
      </c>
    </row>
    <row r="12" spans="2:6" x14ac:dyDescent="0.55000000000000004">
      <c r="B12" s="2" t="s">
        <v>1</v>
      </c>
      <c r="C12" s="2" t="s">
        <v>2</v>
      </c>
      <c r="D12" s="2" t="s">
        <v>3</v>
      </c>
      <c r="E12" s="2" t="s">
        <v>4</v>
      </c>
      <c r="F12" s="2" t="s">
        <v>5</v>
      </c>
    </row>
    <row r="13" spans="2:6" x14ac:dyDescent="0.55000000000000004">
      <c r="B13" t="s">
        <v>6</v>
      </c>
      <c r="C13" s="3">
        <v>2.62</v>
      </c>
      <c r="D13" s="3">
        <v>2.62</v>
      </c>
      <c r="E13" s="3">
        <v>2.62</v>
      </c>
      <c r="F13" s="3">
        <v>2.62</v>
      </c>
    </row>
    <row r="14" spans="2:6" x14ac:dyDescent="0.55000000000000004">
      <c r="B14" t="s">
        <v>7</v>
      </c>
      <c r="C14" s="3">
        <f>'Relevant Transactions'!I15</f>
        <v>8.1</v>
      </c>
      <c r="D14" s="3">
        <f>'Relevant Transactions'!I16</f>
        <v>9.0500000000000007</v>
      </c>
      <c r="E14" s="3">
        <f>'Relevant Transactions'!I18</f>
        <v>10.833333333333334</v>
      </c>
      <c r="F14" s="3">
        <f>'Relevant Transactions'!I17</f>
        <v>18.7</v>
      </c>
    </row>
    <row r="15" spans="2:6" ht="14.7" thickBot="1" x14ac:dyDescent="0.6">
      <c r="B15" s="4" t="s">
        <v>8</v>
      </c>
      <c r="C15" s="5">
        <f>C13*C14</f>
        <v>21.222000000000001</v>
      </c>
      <c r="D15" s="5">
        <f t="shared" ref="D15:F15" si="1">D13*D14</f>
        <v>23.711000000000002</v>
      </c>
      <c r="E15" s="5">
        <f t="shared" si="1"/>
        <v>28.383333333333336</v>
      </c>
      <c r="F15" s="5">
        <f t="shared" si="1"/>
        <v>48.994</v>
      </c>
    </row>
    <row r="16" spans="2:6" x14ac:dyDescent="0.55000000000000004">
      <c r="E16" s="3"/>
      <c r="F16"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CD1FE-5511-4B80-858D-13F83082B052}">
  <sheetPr codeName="Sheet3">
    <tabColor rgb="FF002060"/>
  </sheetPr>
  <dimension ref="A1"/>
  <sheetViews>
    <sheetView workbookViewId="0">
      <selection activeCell="D13" sqref="D13"/>
    </sheetView>
  </sheetViews>
  <sheetFormatPr defaultRowHeight="14.4" x14ac:dyDescent="0.55000000000000004"/>
  <cols>
    <col min="1" max="16384" width="8.83984375" style="6"/>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52759-FF8B-4096-A53B-7108505A8A39}">
  <sheetPr codeName="Sheet4"/>
  <dimension ref="B2:R59"/>
  <sheetViews>
    <sheetView showGridLines="0" tabSelected="1" zoomScale="92" workbookViewId="0">
      <pane xSplit="2" ySplit="2" topLeftCell="G42" activePane="bottomRight" state="frozen"/>
      <selection activeCell="D13" sqref="D13"/>
      <selection pane="topRight" activeCell="D13" sqref="D13"/>
      <selection pane="bottomLeft" activeCell="D13" sqref="D13"/>
      <selection pane="bottomRight" activeCell="H45" sqref="H45"/>
    </sheetView>
  </sheetViews>
  <sheetFormatPr defaultRowHeight="14.4" x14ac:dyDescent="0.55000000000000004"/>
  <cols>
    <col min="2" max="2" width="11.05078125" customWidth="1"/>
    <col min="3" max="3" width="14.734375" customWidth="1"/>
    <col min="4" max="4" width="17.89453125" bestFit="1" customWidth="1"/>
    <col min="5" max="7" width="14.734375" customWidth="1"/>
    <col min="8" max="8" width="59" style="11" customWidth="1"/>
    <col min="9" max="14" width="14.734375" style="22" customWidth="1"/>
    <col min="15" max="15" width="14.734375" customWidth="1"/>
    <col min="16" max="16" width="41.734375" customWidth="1"/>
    <col min="17" max="18" width="14.734375" customWidth="1"/>
  </cols>
  <sheetData>
    <row r="2" spans="2:18" x14ac:dyDescent="0.55000000000000004">
      <c r="B2" s="7" t="s">
        <v>10</v>
      </c>
      <c r="C2" s="7" t="s">
        <v>11</v>
      </c>
      <c r="D2" s="7" t="s">
        <v>12</v>
      </c>
      <c r="E2" s="7" t="s">
        <v>13</v>
      </c>
      <c r="F2" s="7" t="s">
        <v>14</v>
      </c>
      <c r="G2" s="7" t="s">
        <v>15</v>
      </c>
      <c r="H2" s="8" t="s">
        <v>16</v>
      </c>
      <c r="I2" s="9" t="s">
        <v>17</v>
      </c>
      <c r="J2" s="9" t="s">
        <v>18</v>
      </c>
      <c r="K2" s="9" t="s">
        <v>19</v>
      </c>
      <c r="L2" s="9" t="s">
        <v>20</v>
      </c>
      <c r="M2" s="9" t="s">
        <v>7</v>
      </c>
      <c r="N2" s="9" t="s">
        <v>21</v>
      </c>
      <c r="O2" s="7" t="s">
        <v>22</v>
      </c>
      <c r="P2" s="7" t="s">
        <v>23</v>
      </c>
      <c r="Q2" s="7" t="s">
        <v>24</v>
      </c>
      <c r="R2" s="7" t="s">
        <v>25</v>
      </c>
    </row>
    <row r="3" spans="2:18" ht="72" x14ac:dyDescent="0.55000000000000004">
      <c r="B3">
        <v>37</v>
      </c>
      <c r="C3" t="s">
        <v>26</v>
      </c>
      <c r="D3" t="s">
        <v>27</v>
      </c>
      <c r="E3" t="s">
        <v>28</v>
      </c>
      <c r="F3" t="s">
        <v>29</v>
      </c>
      <c r="G3" s="10">
        <v>46120</v>
      </c>
      <c r="H3" s="11" t="s">
        <v>30</v>
      </c>
      <c r="I3" s="12">
        <v>4.1515000000000004</v>
      </c>
      <c r="J3" s="13">
        <v>4.5149999999999997</v>
      </c>
      <c r="K3" s="13"/>
      <c r="L3" s="13">
        <v>0.5</v>
      </c>
      <c r="M3" s="14">
        <v>4.3</v>
      </c>
      <c r="N3" s="13">
        <v>4.3</v>
      </c>
      <c r="O3" t="s">
        <v>31</v>
      </c>
      <c r="Q3" t="s">
        <v>32</v>
      </c>
      <c r="R3" t="s">
        <v>33</v>
      </c>
    </row>
    <row r="4" spans="2:18" s="15" customFormat="1" ht="57.6" x14ac:dyDescent="0.55000000000000004">
      <c r="B4">
        <v>53</v>
      </c>
      <c r="C4" t="s">
        <v>34</v>
      </c>
      <c r="D4" t="s">
        <v>35</v>
      </c>
      <c r="E4" t="s">
        <v>28</v>
      </c>
      <c r="F4" t="s">
        <v>36</v>
      </c>
      <c r="G4" s="10">
        <v>46112</v>
      </c>
      <c r="H4" s="11" t="s">
        <v>37</v>
      </c>
      <c r="I4" s="13">
        <v>6.3500000000000001E-2</v>
      </c>
      <c r="J4" s="13"/>
      <c r="K4" s="13"/>
      <c r="L4" s="13">
        <v>0.1</v>
      </c>
      <c r="M4" s="13">
        <v>1.1000000000000001</v>
      </c>
      <c r="N4" s="13" t="s">
        <v>38</v>
      </c>
      <c r="O4" t="s">
        <v>39</v>
      </c>
      <c r="P4"/>
      <c r="Q4" t="s">
        <v>40</v>
      </c>
      <c r="R4" t="s">
        <v>41</v>
      </c>
    </row>
    <row r="5" spans="2:18" ht="43.2" x14ac:dyDescent="0.55000000000000004">
      <c r="B5" s="16">
        <v>18</v>
      </c>
      <c r="C5" s="16" t="s">
        <v>42</v>
      </c>
      <c r="D5" s="16" t="s">
        <v>27</v>
      </c>
      <c r="E5" s="16" t="s">
        <v>28</v>
      </c>
      <c r="F5" s="16" t="s">
        <v>43</v>
      </c>
      <c r="G5" s="17">
        <v>46105</v>
      </c>
      <c r="H5" s="18" t="s">
        <v>44</v>
      </c>
      <c r="I5" s="19" t="s">
        <v>45</v>
      </c>
      <c r="J5" s="19"/>
      <c r="K5" s="19"/>
      <c r="L5" s="19">
        <v>2.7</v>
      </c>
      <c r="M5" s="19" t="s">
        <v>46</v>
      </c>
      <c r="N5" s="19">
        <v>7.4</v>
      </c>
      <c r="O5" s="16" t="s">
        <v>47</v>
      </c>
      <c r="P5" s="16" t="s">
        <v>48</v>
      </c>
      <c r="Q5" s="16" t="s">
        <v>40</v>
      </c>
      <c r="R5" s="16" t="s">
        <v>49</v>
      </c>
    </row>
    <row r="6" spans="2:18" ht="144" x14ac:dyDescent="0.55000000000000004">
      <c r="B6" s="16">
        <v>23</v>
      </c>
      <c r="C6" s="16" t="s">
        <v>50</v>
      </c>
      <c r="D6" s="16" t="s">
        <v>27</v>
      </c>
      <c r="E6" s="16" t="s">
        <v>28</v>
      </c>
      <c r="F6" s="16" t="s">
        <v>51</v>
      </c>
      <c r="G6" s="17">
        <v>46091</v>
      </c>
      <c r="H6" s="18" t="s">
        <v>52</v>
      </c>
      <c r="I6" s="19">
        <v>1.8334999999999999</v>
      </c>
      <c r="J6" s="19"/>
      <c r="K6" s="19"/>
      <c r="L6" s="19">
        <v>0.5</v>
      </c>
      <c r="M6" s="19">
        <v>4.7</v>
      </c>
      <c r="N6" s="19">
        <v>4.7</v>
      </c>
      <c r="O6" s="16" t="s">
        <v>31</v>
      </c>
      <c r="P6" s="16"/>
      <c r="Q6" s="16" t="s">
        <v>32</v>
      </c>
      <c r="R6" s="16" t="s">
        <v>33</v>
      </c>
    </row>
    <row r="7" spans="2:18" ht="72" x14ac:dyDescent="0.55000000000000004">
      <c r="B7">
        <v>14</v>
      </c>
      <c r="C7" t="s">
        <v>53</v>
      </c>
      <c r="D7" t="s">
        <v>27</v>
      </c>
      <c r="E7" t="s">
        <v>28</v>
      </c>
      <c r="F7" t="s">
        <v>54</v>
      </c>
      <c r="G7" s="10">
        <v>46085</v>
      </c>
      <c r="H7" s="11" t="s">
        <v>55</v>
      </c>
      <c r="I7" s="13">
        <v>1.98</v>
      </c>
      <c r="J7" s="13"/>
      <c r="K7" s="13"/>
      <c r="L7" s="13">
        <v>0.3</v>
      </c>
      <c r="M7" s="13">
        <v>21.5</v>
      </c>
      <c r="N7" s="13" t="s">
        <v>56</v>
      </c>
      <c r="O7" t="s">
        <v>57</v>
      </c>
      <c r="Q7" t="s">
        <v>58</v>
      </c>
      <c r="R7" t="s">
        <v>59</v>
      </c>
    </row>
    <row r="8" spans="2:18" ht="86.4" x14ac:dyDescent="0.55000000000000004">
      <c r="B8">
        <v>25</v>
      </c>
      <c r="C8" t="s">
        <v>60</v>
      </c>
      <c r="D8" t="s">
        <v>27</v>
      </c>
      <c r="E8" t="s">
        <v>28</v>
      </c>
      <c r="F8" t="s">
        <v>61</v>
      </c>
      <c r="G8" s="10">
        <v>45973</v>
      </c>
      <c r="H8" s="11" t="s">
        <v>62</v>
      </c>
      <c r="I8" s="13">
        <v>8.5724999999999998</v>
      </c>
      <c r="J8" s="13"/>
      <c r="K8" s="13"/>
      <c r="L8" s="13">
        <v>0.2</v>
      </c>
      <c r="M8" s="13">
        <v>5.6</v>
      </c>
      <c r="N8" s="13">
        <v>5.3</v>
      </c>
      <c r="O8" t="s">
        <v>63</v>
      </c>
      <c r="Q8" t="s">
        <v>40</v>
      </c>
      <c r="R8" t="s">
        <v>64</v>
      </c>
    </row>
    <row r="9" spans="2:18" ht="86.4" x14ac:dyDescent="0.55000000000000004">
      <c r="B9" s="16">
        <v>13</v>
      </c>
      <c r="C9" s="16" t="s">
        <v>65</v>
      </c>
      <c r="D9" s="16" t="s">
        <v>27</v>
      </c>
      <c r="E9" s="16" t="s">
        <v>28</v>
      </c>
      <c r="F9" s="16" t="s">
        <v>66</v>
      </c>
      <c r="G9" s="17">
        <v>45972</v>
      </c>
      <c r="H9" s="18" t="s">
        <v>67</v>
      </c>
      <c r="I9" s="19">
        <v>12.87</v>
      </c>
      <c r="J9" s="19">
        <v>13.0581</v>
      </c>
      <c r="K9" s="19"/>
      <c r="L9" s="19">
        <v>12.9</v>
      </c>
      <c r="M9" s="19">
        <v>9.4</v>
      </c>
      <c r="N9" s="19">
        <v>9.1</v>
      </c>
      <c r="O9" s="16"/>
      <c r="P9" s="16"/>
      <c r="Q9" s="16" t="s">
        <v>58</v>
      </c>
      <c r="R9" s="16"/>
    </row>
    <row r="10" spans="2:18" ht="100.8" x14ac:dyDescent="0.55000000000000004">
      <c r="B10">
        <v>11</v>
      </c>
      <c r="C10" t="s">
        <v>68</v>
      </c>
      <c r="D10" t="s">
        <v>27</v>
      </c>
      <c r="E10" t="s">
        <v>28</v>
      </c>
      <c r="F10" t="s">
        <v>69</v>
      </c>
      <c r="G10" s="10">
        <v>45958</v>
      </c>
      <c r="H10" s="11" t="s">
        <v>70</v>
      </c>
      <c r="I10" s="13" t="s">
        <v>71</v>
      </c>
      <c r="J10" s="13"/>
      <c r="K10" s="13"/>
      <c r="L10" s="13">
        <v>5.0999999999999996</v>
      </c>
      <c r="M10" s="13">
        <v>49.7</v>
      </c>
      <c r="N10" s="13">
        <v>47.5</v>
      </c>
      <c r="O10" t="s">
        <v>72</v>
      </c>
      <c r="Q10" t="s">
        <v>40</v>
      </c>
      <c r="R10" t="s">
        <v>73</v>
      </c>
    </row>
    <row r="11" spans="2:18" s="15" customFormat="1" ht="144" x14ac:dyDescent="0.55000000000000004">
      <c r="B11">
        <v>55</v>
      </c>
      <c r="C11" t="s">
        <v>74</v>
      </c>
      <c r="D11" t="s">
        <v>27</v>
      </c>
      <c r="E11" t="s">
        <v>28</v>
      </c>
      <c r="F11" t="s">
        <v>75</v>
      </c>
      <c r="G11" s="10">
        <v>45951</v>
      </c>
      <c r="H11" s="11" t="s">
        <v>76</v>
      </c>
      <c r="I11" s="13"/>
      <c r="J11" s="13">
        <v>190.5</v>
      </c>
      <c r="K11" s="13"/>
      <c r="L11" s="13">
        <v>0.4</v>
      </c>
      <c r="M11" s="13">
        <v>4.8</v>
      </c>
      <c r="N11" s="13">
        <v>3.9</v>
      </c>
      <c r="O11" t="s">
        <v>77</v>
      </c>
      <c r="P11"/>
      <c r="Q11" t="s">
        <v>40</v>
      </c>
      <c r="R11" t="s">
        <v>78</v>
      </c>
    </row>
    <row r="12" spans="2:18" ht="43.2" x14ac:dyDescent="0.55000000000000004">
      <c r="B12">
        <v>8</v>
      </c>
      <c r="C12" t="s">
        <v>79</v>
      </c>
      <c r="D12" t="s">
        <v>27</v>
      </c>
      <c r="E12" t="s">
        <v>28</v>
      </c>
      <c r="F12" t="s">
        <v>80</v>
      </c>
      <c r="G12" s="10">
        <v>45931</v>
      </c>
      <c r="H12" s="11" t="s">
        <v>81</v>
      </c>
      <c r="I12" s="13">
        <v>134.19999999999999</v>
      </c>
      <c r="J12" s="13">
        <v>158.4</v>
      </c>
      <c r="K12" s="13"/>
      <c r="L12" s="13">
        <v>0.9</v>
      </c>
      <c r="M12" s="13">
        <v>225.3</v>
      </c>
      <c r="N12" s="13">
        <v>33.200000000000003</v>
      </c>
      <c r="Q12" t="s">
        <v>82</v>
      </c>
      <c r="R12" t="s">
        <v>83</v>
      </c>
    </row>
    <row r="13" spans="2:18" ht="72" x14ac:dyDescent="0.55000000000000004">
      <c r="B13">
        <v>30</v>
      </c>
      <c r="C13" t="s">
        <v>84</v>
      </c>
      <c r="D13" t="s">
        <v>35</v>
      </c>
      <c r="E13" t="s">
        <v>28</v>
      </c>
      <c r="F13" t="s">
        <v>85</v>
      </c>
      <c r="G13" s="10">
        <v>45930</v>
      </c>
      <c r="H13" s="11" t="s">
        <v>86</v>
      </c>
      <c r="I13" s="13">
        <v>6.35</v>
      </c>
      <c r="J13" s="13"/>
      <c r="K13" s="13"/>
      <c r="L13" s="13">
        <v>0.1</v>
      </c>
      <c r="M13" s="13">
        <v>5.2</v>
      </c>
      <c r="N13" s="13">
        <v>4.0999999999999996</v>
      </c>
      <c r="R13" t="s">
        <v>87</v>
      </c>
    </row>
    <row r="14" spans="2:18" ht="115.2" x14ac:dyDescent="0.55000000000000004">
      <c r="B14">
        <v>7</v>
      </c>
      <c r="C14" t="s">
        <v>88</v>
      </c>
      <c r="D14" t="s">
        <v>35</v>
      </c>
      <c r="E14" t="s">
        <v>28</v>
      </c>
      <c r="F14" t="s">
        <v>89</v>
      </c>
      <c r="G14" s="10">
        <v>45929</v>
      </c>
      <c r="H14" s="11" t="s">
        <v>90</v>
      </c>
      <c r="I14" s="13">
        <v>62.23</v>
      </c>
      <c r="J14" s="13"/>
      <c r="K14" s="13"/>
      <c r="L14" s="13"/>
      <c r="M14" s="13">
        <v>8.5</v>
      </c>
      <c r="N14" s="13"/>
      <c r="O14" t="s">
        <v>91</v>
      </c>
      <c r="Q14" t="s">
        <v>40</v>
      </c>
      <c r="R14" t="s">
        <v>92</v>
      </c>
    </row>
    <row r="15" spans="2:18" ht="57.6" x14ac:dyDescent="0.55000000000000004">
      <c r="B15" s="16">
        <v>22</v>
      </c>
      <c r="C15" s="16" t="s">
        <v>93</v>
      </c>
      <c r="D15" s="16" t="s">
        <v>27</v>
      </c>
      <c r="E15" s="16" t="s">
        <v>28</v>
      </c>
      <c r="F15" s="16" t="s">
        <v>94</v>
      </c>
      <c r="G15" s="17">
        <v>45761</v>
      </c>
      <c r="H15" s="18" t="s">
        <v>95</v>
      </c>
      <c r="I15" s="19">
        <v>29.844999999999999</v>
      </c>
      <c r="J15" s="19"/>
      <c r="K15" s="19"/>
      <c r="L15" s="19">
        <v>0.1</v>
      </c>
      <c r="M15" s="19">
        <v>8.1</v>
      </c>
      <c r="N15" s="19">
        <v>5.9</v>
      </c>
      <c r="O15" s="16" t="s">
        <v>96</v>
      </c>
      <c r="P15" s="16" t="s">
        <v>97</v>
      </c>
      <c r="Q15" s="16" t="s">
        <v>40</v>
      </c>
      <c r="R15" s="16" t="s">
        <v>98</v>
      </c>
    </row>
    <row r="16" spans="2:18" ht="100.8" x14ac:dyDescent="0.55000000000000004">
      <c r="B16">
        <v>21</v>
      </c>
      <c r="C16" t="s">
        <v>99</v>
      </c>
      <c r="D16" t="s">
        <v>27</v>
      </c>
      <c r="E16" t="s">
        <v>28</v>
      </c>
      <c r="F16" t="s">
        <v>100</v>
      </c>
      <c r="G16" s="10">
        <v>45736</v>
      </c>
      <c r="H16" s="11" t="s">
        <v>101</v>
      </c>
      <c r="I16" s="13">
        <v>6.8910039999999997</v>
      </c>
      <c r="J16" s="13">
        <v>4.95</v>
      </c>
      <c r="K16" s="13"/>
      <c r="L16" s="13">
        <v>0.1</v>
      </c>
      <c r="M16" s="13">
        <v>3.8</v>
      </c>
      <c r="N16" s="13">
        <v>3.2</v>
      </c>
      <c r="O16" t="s">
        <v>102</v>
      </c>
      <c r="Q16" t="s">
        <v>58</v>
      </c>
      <c r="R16" t="s">
        <v>103</v>
      </c>
    </row>
    <row r="17" spans="2:18" ht="100.8" x14ac:dyDescent="0.55000000000000004">
      <c r="B17">
        <v>38</v>
      </c>
      <c r="C17" t="s">
        <v>104</v>
      </c>
      <c r="D17" t="s">
        <v>27</v>
      </c>
      <c r="E17" t="s">
        <v>28</v>
      </c>
      <c r="F17" t="s">
        <v>105</v>
      </c>
      <c r="G17" s="10">
        <v>45715</v>
      </c>
      <c r="H17" s="11" t="s">
        <v>106</v>
      </c>
      <c r="I17" s="13"/>
      <c r="J17" s="13"/>
      <c r="K17" s="13"/>
      <c r="L17" s="13"/>
      <c r="M17" s="13">
        <v>11.5</v>
      </c>
      <c r="N17" s="13"/>
      <c r="O17" t="s">
        <v>107</v>
      </c>
      <c r="Q17" t="s">
        <v>108</v>
      </c>
      <c r="R17" t="s">
        <v>109</v>
      </c>
    </row>
    <row r="18" spans="2:18" ht="43.2" x14ac:dyDescent="0.55000000000000004">
      <c r="B18">
        <v>40</v>
      </c>
      <c r="C18" t="s">
        <v>110</v>
      </c>
      <c r="D18" t="s">
        <v>27</v>
      </c>
      <c r="E18" t="s">
        <v>28</v>
      </c>
      <c r="F18" t="s">
        <v>111</v>
      </c>
      <c r="G18" s="10">
        <v>45706</v>
      </c>
      <c r="H18" s="11" t="s">
        <v>112</v>
      </c>
      <c r="I18" s="13">
        <v>1.5009999999999999</v>
      </c>
      <c r="J18" s="13"/>
      <c r="K18" s="13"/>
      <c r="L18" s="13">
        <v>0.4</v>
      </c>
      <c r="M18" s="13">
        <v>5.2</v>
      </c>
      <c r="N18" s="13">
        <v>5.5</v>
      </c>
      <c r="O18" t="s">
        <v>113</v>
      </c>
      <c r="Q18" t="s">
        <v>32</v>
      </c>
      <c r="R18" t="s">
        <v>114</v>
      </c>
    </row>
    <row r="19" spans="2:18" ht="72" x14ac:dyDescent="0.55000000000000004">
      <c r="B19">
        <v>43</v>
      </c>
      <c r="C19" t="s">
        <v>115</v>
      </c>
      <c r="D19" t="s">
        <v>27</v>
      </c>
      <c r="E19" t="s">
        <v>28</v>
      </c>
      <c r="F19" t="s">
        <v>116</v>
      </c>
      <c r="G19" s="10">
        <v>45659</v>
      </c>
      <c r="H19" s="11" t="s">
        <v>117</v>
      </c>
      <c r="I19" s="13">
        <v>21.541025000000001</v>
      </c>
      <c r="J19" s="13"/>
      <c r="K19" s="13"/>
      <c r="L19" s="13">
        <v>0.5</v>
      </c>
      <c r="M19" s="13">
        <v>18.600000000000001</v>
      </c>
      <c r="N19" s="13">
        <v>17.7</v>
      </c>
      <c r="O19" t="s">
        <v>118</v>
      </c>
      <c r="P19" t="s">
        <v>119</v>
      </c>
    </row>
    <row r="20" spans="2:18" ht="57.6" x14ac:dyDescent="0.55000000000000004">
      <c r="B20" s="16">
        <v>17</v>
      </c>
      <c r="C20" s="16" t="s">
        <v>120</v>
      </c>
      <c r="D20" s="16" t="s">
        <v>27</v>
      </c>
      <c r="E20" s="16" t="s">
        <v>28</v>
      </c>
      <c r="F20" s="16" t="s">
        <v>121</v>
      </c>
      <c r="G20" s="17">
        <v>45602</v>
      </c>
      <c r="H20" s="18" t="s">
        <v>122</v>
      </c>
      <c r="I20" s="19">
        <v>16.5</v>
      </c>
      <c r="J20" s="19"/>
      <c r="K20" s="19"/>
      <c r="L20" s="19">
        <v>1.6</v>
      </c>
      <c r="M20" s="19">
        <v>27.1</v>
      </c>
      <c r="N20" s="19">
        <v>25.6</v>
      </c>
      <c r="O20" s="16" t="s">
        <v>123</v>
      </c>
      <c r="P20" s="16" t="s">
        <v>124</v>
      </c>
      <c r="Q20" s="16"/>
      <c r="R20" s="16" t="s">
        <v>125</v>
      </c>
    </row>
    <row r="21" spans="2:18" ht="72" x14ac:dyDescent="0.55000000000000004">
      <c r="B21">
        <v>34</v>
      </c>
      <c r="C21" t="s">
        <v>126</v>
      </c>
      <c r="D21" t="s">
        <v>27</v>
      </c>
      <c r="E21" t="s">
        <v>28</v>
      </c>
      <c r="F21" t="s">
        <v>127</v>
      </c>
      <c r="G21" s="10">
        <v>45600</v>
      </c>
      <c r="H21" s="11" t="s">
        <v>128</v>
      </c>
      <c r="I21" s="13">
        <v>98.552000000000007</v>
      </c>
      <c r="J21" s="13"/>
      <c r="K21" s="13"/>
      <c r="L21" s="13">
        <v>2.5</v>
      </c>
      <c r="M21" s="13">
        <v>18.600000000000001</v>
      </c>
      <c r="N21" s="13">
        <v>9.5</v>
      </c>
      <c r="O21" t="s">
        <v>129</v>
      </c>
      <c r="P21" t="s">
        <v>130</v>
      </c>
      <c r="Q21" t="s">
        <v>40</v>
      </c>
      <c r="R21" t="s">
        <v>131</v>
      </c>
    </row>
    <row r="22" spans="2:18" ht="72" x14ac:dyDescent="0.55000000000000004">
      <c r="B22">
        <v>56</v>
      </c>
      <c r="C22" t="s">
        <v>132</v>
      </c>
      <c r="D22" t="s">
        <v>27</v>
      </c>
      <c r="E22" t="s">
        <v>28</v>
      </c>
      <c r="F22" t="s">
        <v>133</v>
      </c>
      <c r="G22" s="10">
        <v>45484</v>
      </c>
      <c r="H22" s="11" t="s">
        <v>134</v>
      </c>
      <c r="I22" s="13"/>
      <c r="J22" s="13">
        <v>50.8</v>
      </c>
      <c r="K22" s="13"/>
      <c r="L22" s="13">
        <v>1.2</v>
      </c>
      <c r="M22" s="13">
        <v>10.3</v>
      </c>
      <c r="N22" s="13">
        <v>9.6999999999999993</v>
      </c>
      <c r="Q22" t="s">
        <v>40</v>
      </c>
      <c r="R22" t="s">
        <v>135</v>
      </c>
    </row>
    <row r="23" spans="2:18" ht="100.8" x14ac:dyDescent="0.55000000000000004">
      <c r="B23">
        <v>52</v>
      </c>
      <c r="C23" t="s">
        <v>136</v>
      </c>
      <c r="D23" t="s">
        <v>27</v>
      </c>
      <c r="E23" t="s">
        <v>28</v>
      </c>
      <c r="F23" t="s">
        <v>137</v>
      </c>
      <c r="G23" s="10">
        <v>45469</v>
      </c>
      <c r="H23" s="11" t="s">
        <v>138</v>
      </c>
      <c r="I23" s="13"/>
      <c r="J23" s="13"/>
      <c r="K23" s="13"/>
      <c r="L23" s="13">
        <v>0.7</v>
      </c>
      <c r="M23" s="13">
        <v>5.3</v>
      </c>
      <c r="N23" s="13"/>
      <c r="O23" t="s">
        <v>139</v>
      </c>
      <c r="Q23" t="s">
        <v>140</v>
      </c>
      <c r="R23" t="s">
        <v>141</v>
      </c>
    </row>
    <row r="24" spans="2:18" ht="28.8" x14ac:dyDescent="0.55000000000000004">
      <c r="B24" s="16">
        <v>5</v>
      </c>
      <c r="C24" s="16" t="s">
        <v>142</v>
      </c>
      <c r="D24" s="16" t="s">
        <v>27</v>
      </c>
      <c r="E24" s="16" t="s">
        <v>28</v>
      </c>
      <c r="F24" s="16" t="s">
        <v>143</v>
      </c>
      <c r="G24" s="17">
        <v>45462</v>
      </c>
      <c r="H24" s="18" t="s">
        <v>144</v>
      </c>
      <c r="I24" s="19" t="s">
        <v>145</v>
      </c>
      <c r="J24" s="19"/>
      <c r="K24" s="19"/>
      <c r="L24" s="19">
        <v>13.8</v>
      </c>
      <c r="M24" s="19">
        <v>71.900000000000006</v>
      </c>
      <c r="N24" s="19">
        <v>54.2</v>
      </c>
      <c r="O24" s="16" t="s">
        <v>146</v>
      </c>
      <c r="P24" s="16" t="s">
        <v>147</v>
      </c>
      <c r="Q24" s="16" t="s">
        <v>148</v>
      </c>
      <c r="R24" s="16" t="s">
        <v>149</v>
      </c>
    </row>
    <row r="25" spans="2:18" ht="57.6" x14ac:dyDescent="0.55000000000000004">
      <c r="B25">
        <v>6</v>
      </c>
      <c r="C25" t="s">
        <v>150</v>
      </c>
      <c r="D25" t="s">
        <v>27</v>
      </c>
      <c r="E25" t="s">
        <v>28</v>
      </c>
      <c r="F25" t="s">
        <v>151</v>
      </c>
      <c r="G25" s="10">
        <v>45398</v>
      </c>
      <c r="H25" s="11" t="s">
        <v>152</v>
      </c>
      <c r="I25" s="13">
        <v>1587.5</v>
      </c>
      <c r="J25" s="13"/>
      <c r="K25" s="13"/>
      <c r="L25" s="13">
        <v>10.4</v>
      </c>
      <c r="M25" s="13">
        <v>18.5</v>
      </c>
      <c r="N25" s="13">
        <v>12.3</v>
      </c>
      <c r="O25" t="s">
        <v>153</v>
      </c>
      <c r="P25" t="s">
        <v>154</v>
      </c>
      <c r="Q25" t="s">
        <v>40</v>
      </c>
      <c r="R25" t="s">
        <v>155</v>
      </c>
    </row>
    <row r="26" spans="2:18" ht="72" x14ac:dyDescent="0.55000000000000004">
      <c r="B26">
        <v>50</v>
      </c>
      <c r="C26" t="s">
        <v>156</v>
      </c>
      <c r="D26" t="s">
        <v>27</v>
      </c>
      <c r="E26" t="s">
        <v>28</v>
      </c>
      <c r="F26" t="s">
        <v>157</v>
      </c>
      <c r="G26" s="10">
        <v>45384</v>
      </c>
      <c r="H26" s="11" t="s">
        <v>158</v>
      </c>
      <c r="I26" s="13">
        <v>3.85</v>
      </c>
      <c r="J26" s="13"/>
      <c r="K26" s="13"/>
      <c r="L26" s="13">
        <v>3.8</v>
      </c>
      <c r="M26" s="13" t="s">
        <v>159</v>
      </c>
      <c r="N26" s="13"/>
      <c r="O26" t="s">
        <v>160</v>
      </c>
      <c r="Q26" t="s">
        <v>140</v>
      </c>
      <c r="R26" t="s">
        <v>161</v>
      </c>
    </row>
    <row r="27" spans="2:18" ht="86.4" x14ac:dyDescent="0.55000000000000004">
      <c r="B27">
        <v>41</v>
      </c>
      <c r="C27" t="s">
        <v>162</v>
      </c>
      <c r="D27" t="s">
        <v>27</v>
      </c>
      <c r="E27" t="s">
        <v>28</v>
      </c>
      <c r="F27" t="s">
        <v>163</v>
      </c>
      <c r="G27" s="10">
        <v>45377</v>
      </c>
      <c r="H27" s="11" t="s">
        <v>164</v>
      </c>
      <c r="I27" s="13">
        <v>0.67320000000000002</v>
      </c>
      <c r="J27" s="13"/>
      <c r="K27" s="13"/>
      <c r="L27" s="13">
        <v>0.1</v>
      </c>
      <c r="M27" s="13">
        <v>0.9</v>
      </c>
      <c r="N27" s="13">
        <v>0.7</v>
      </c>
      <c r="O27" t="s">
        <v>102</v>
      </c>
      <c r="R27" t="s">
        <v>161</v>
      </c>
    </row>
    <row r="28" spans="2:18" ht="57.6" x14ac:dyDescent="0.55000000000000004">
      <c r="B28" s="16">
        <v>9</v>
      </c>
      <c r="C28" s="16" t="s">
        <v>165</v>
      </c>
      <c r="D28" s="16" t="s">
        <v>27</v>
      </c>
      <c r="E28" s="16" t="s">
        <v>28</v>
      </c>
      <c r="F28" s="16" t="s">
        <v>166</v>
      </c>
      <c r="G28" s="17">
        <v>45308</v>
      </c>
      <c r="H28" s="18" t="s">
        <v>167</v>
      </c>
      <c r="I28" s="19" t="s">
        <v>168</v>
      </c>
      <c r="J28" s="19" t="s">
        <v>168</v>
      </c>
      <c r="K28" s="19"/>
      <c r="L28" s="19">
        <v>0.5</v>
      </c>
      <c r="M28" s="19">
        <v>0.8</v>
      </c>
      <c r="N28" s="19">
        <v>0.7</v>
      </c>
      <c r="O28" s="16" t="s">
        <v>169</v>
      </c>
      <c r="P28" s="16"/>
      <c r="Q28" s="16" t="s">
        <v>170</v>
      </c>
      <c r="R28" s="16" t="s">
        <v>171</v>
      </c>
    </row>
    <row r="29" spans="2:18" ht="86.4" x14ac:dyDescent="0.55000000000000004">
      <c r="B29">
        <v>54</v>
      </c>
      <c r="C29" t="s">
        <v>172</v>
      </c>
      <c r="D29" t="s">
        <v>27</v>
      </c>
      <c r="E29" t="s">
        <v>28</v>
      </c>
      <c r="F29" t="s">
        <v>173</v>
      </c>
      <c r="G29" s="10">
        <v>45292</v>
      </c>
      <c r="H29" s="11" t="s">
        <v>174</v>
      </c>
      <c r="I29" s="13"/>
      <c r="J29" s="13"/>
      <c r="K29" s="13"/>
      <c r="L29" s="13">
        <v>4.0999999999999996</v>
      </c>
      <c r="M29" s="13" t="s">
        <v>175</v>
      </c>
      <c r="N29" s="13"/>
      <c r="O29" t="s">
        <v>176</v>
      </c>
      <c r="P29" t="s">
        <v>177</v>
      </c>
      <c r="Q29" t="s">
        <v>178</v>
      </c>
      <c r="R29" t="s">
        <v>179</v>
      </c>
    </row>
    <row r="30" spans="2:18" ht="86.4" x14ac:dyDescent="0.55000000000000004">
      <c r="B30" s="16">
        <v>15</v>
      </c>
      <c r="C30" s="16" t="s">
        <v>180</v>
      </c>
      <c r="D30" s="16" t="s">
        <v>27</v>
      </c>
      <c r="E30" s="16" t="s">
        <v>28</v>
      </c>
      <c r="F30" s="16" t="s">
        <v>181</v>
      </c>
      <c r="G30" s="17">
        <v>45218</v>
      </c>
      <c r="H30" s="18" t="s">
        <v>182</v>
      </c>
      <c r="I30" s="19">
        <v>16.5</v>
      </c>
      <c r="J30" s="19"/>
      <c r="K30" s="19"/>
      <c r="L30" s="19">
        <v>0.6</v>
      </c>
      <c r="M30" s="19">
        <v>8.1</v>
      </c>
      <c r="N30" s="19">
        <v>8.1</v>
      </c>
      <c r="O30" s="16" t="s">
        <v>183</v>
      </c>
      <c r="P30" s="16"/>
      <c r="Q30" s="16" t="s">
        <v>40</v>
      </c>
      <c r="R30" s="16" t="s">
        <v>184</v>
      </c>
    </row>
    <row r="31" spans="2:18" ht="57.6" x14ac:dyDescent="0.55000000000000004">
      <c r="B31" s="16">
        <v>4</v>
      </c>
      <c r="C31" s="16" t="s">
        <v>185</v>
      </c>
      <c r="D31" s="16" t="s">
        <v>27</v>
      </c>
      <c r="E31" s="16" t="s">
        <v>28</v>
      </c>
      <c r="F31" s="16" t="s">
        <v>186</v>
      </c>
      <c r="G31" s="17">
        <v>45149</v>
      </c>
      <c r="H31" s="18" t="s">
        <v>187</v>
      </c>
      <c r="I31" s="19" t="s">
        <v>188</v>
      </c>
      <c r="J31" s="19" t="s">
        <v>189</v>
      </c>
      <c r="K31" s="19"/>
      <c r="L31" s="19">
        <v>5.6</v>
      </c>
      <c r="M31" s="19">
        <v>19.7</v>
      </c>
      <c r="N31" s="19">
        <v>18.8</v>
      </c>
      <c r="O31" s="16" t="s">
        <v>190</v>
      </c>
      <c r="P31" s="16"/>
      <c r="Q31" s="16"/>
      <c r="R31" s="16" t="s">
        <v>191</v>
      </c>
    </row>
    <row r="32" spans="2:18" ht="57.6" x14ac:dyDescent="0.55000000000000004">
      <c r="B32" s="16">
        <v>3</v>
      </c>
      <c r="C32" s="16" t="s">
        <v>192</v>
      </c>
      <c r="D32" s="16" t="s">
        <v>27</v>
      </c>
      <c r="E32" s="16" t="s">
        <v>28</v>
      </c>
      <c r="F32" s="16" t="s">
        <v>193</v>
      </c>
      <c r="G32" s="17">
        <v>45091</v>
      </c>
      <c r="H32" s="18" t="s">
        <v>194</v>
      </c>
      <c r="I32" s="19" t="s">
        <v>195</v>
      </c>
      <c r="J32" s="19"/>
      <c r="K32" s="19"/>
      <c r="L32" s="19">
        <v>2.1</v>
      </c>
      <c r="M32" s="19">
        <v>8.6999999999999993</v>
      </c>
      <c r="N32" s="19">
        <v>6.1</v>
      </c>
      <c r="O32" s="16" t="s">
        <v>196</v>
      </c>
      <c r="P32" s="16" t="s">
        <v>197</v>
      </c>
      <c r="Q32" s="16" t="s">
        <v>108</v>
      </c>
      <c r="R32" s="16" t="s">
        <v>198</v>
      </c>
    </row>
    <row r="33" spans="2:18" ht="72" x14ac:dyDescent="0.55000000000000004">
      <c r="B33">
        <v>32</v>
      </c>
      <c r="C33" t="s">
        <v>199</v>
      </c>
      <c r="D33" t="s">
        <v>27</v>
      </c>
      <c r="E33" t="s">
        <v>28</v>
      </c>
      <c r="F33" t="s">
        <v>200</v>
      </c>
      <c r="G33" s="10">
        <v>45078</v>
      </c>
      <c r="H33" s="11" t="s">
        <v>201</v>
      </c>
      <c r="I33" s="13" t="s">
        <v>202</v>
      </c>
      <c r="J33" s="13"/>
      <c r="K33" s="13"/>
      <c r="L33" s="13">
        <v>1.4</v>
      </c>
      <c r="M33" s="13">
        <v>24.7</v>
      </c>
      <c r="N33" s="13">
        <v>10.1</v>
      </c>
      <c r="O33" t="s">
        <v>203</v>
      </c>
      <c r="P33" t="s">
        <v>204</v>
      </c>
      <c r="R33" t="s">
        <v>205</v>
      </c>
    </row>
    <row r="34" spans="2:18" ht="86.4" x14ac:dyDescent="0.55000000000000004">
      <c r="B34">
        <v>49</v>
      </c>
      <c r="C34" t="s">
        <v>206</v>
      </c>
      <c r="D34" t="s">
        <v>27</v>
      </c>
      <c r="E34" t="s">
        <v>28</v>
      </c>
      <c r="F34" t="s">
        <v>207</v>
      </c>
      <c r="G34" s="10">
        <v>45044</v>
      </c>
      <c r="H34" s="11" t="s">
        <v>208</v>
      </c>
      <c r="I34" s="13">
        <v>1.4355</v>
      </c>
      <c r="J34" s="13">
        <v>1.2672000000000001</v>
      </c>
      <c r="K34" s="13"/>
      <c r="L34" s="13">
        <v>0.4</v>
      </c>
      <c r="M34" s="13">
        <v>2.6</v>
      </c>
      <c r="N34" s="13">
        <v>2.6</v>
      </c>
      <c r="O34" t="s">
        <v>102</v>
      </c>
      <c r="Q34" t="s">
        <v>58</v>
      </c>
      <c r="R34" t="s">
        <v>209</v>
      </c>
    </row>
    <row r="35" spans="2:18" ht="86.4" x14ac:dyDescent="0.55000000000000004">
      <c r="B35">
        <v>44</v>
      </c>
      <c r="C35" t="s">
        <v>210</v>
      </c>
      <c r="D35" t="s">
        <v>27</v>
      </c>
      <c r="E35" t="s">
        <v>28</v>
      </c>
      <c r="F35" t="s">
        <v>211</v>
      </c>
      <c r="G35" s="10">
        <v>45026</v>
      </c>
      <c r="H35" s="11" t="s">
        <v>212</v>
      </c>
      <c r="I35" s="13" t="s">
        <v>213</v>
      </c>
      <c r="J35" s="13" t="s">
        <v>213</v>
      </c>
      <c r="K35" s="13"/>
      <c r="L35" s="13">
        <v>1.1000000000000001</v>
      </c>
      <c r="M35" s="13">
        <v>9.1</v>
      </c>
      <c r="N35" s="13">
        <v>9.1</v>
      </c>
      <c r="O35" t="s">
        <v>214</v>
      </c>
      <c r="Q35" t="s">
        <v>215</v>
      </c>
      <c r="R35" t="s">
        <v>216</v>
      </c>
    </row>
    <row r="36" spans="2:18" ht="28.8" x14ac:dyDescent="0.55000000000000004">
      <c r="B36">
        <v>29</v>
      </c>
      <c r="C36" t="s">
        <v>217</v>
      </c>
      <c r="D36" t="s">
        <v>27</v>
      </c>
      <c r="E36" t="s">
        <v>28</v>
      </c>
      <c r="F36" t="s">
        <v>218</v>
      </c>
      <c r="G36" s="10">
        <v>45013</v>
      </c>
      <c r="H36" s="11" t="s">
        <v>219</v>
      </c>
      <c r="I36" s="13" t="s">
        <v>168</v>
      </c>
      <c r="J36" s="13"/>
      <c r="K36" s="13"/>
      <c r="L36" s="13" t="s">
        <v>220</v>
      </c>
      <c r="M36" s="13">
        <v>11.1</v>
      </c>
      <c r="N36" s="13"/>
      <c r="O36" t="s">
        <v>221</v>
      </c>
      <c r="R36" t="s">
        <v>161</v>
      </c>
    </row>
    <row r="37" spans="2:18" ht="72" x14ac:dyDescent="0.55000000000000004">
      <c r="B37">
        <v>57</v>
      </c>
      <c r="C37" t="s">
        <v>222</v>
      </c>
      <c r="D37" t="s">
        <v>27</v>
      </c>
      <c r="E37" t="s">
        <v>28</v>
      </c>
      <c r="F37" t="s">
        <v>223</v>
      </c>
      <c r="G37" s="10">
        <v>45005</v>
      </c>
      <c r="H37" s="11" t="s">
        <v>224</v>
      </c>
      <c r="I37" s="13"/>
      <c r="J37" s="13"/>
      <c r="K37" s="13"/>
      <c r="L37" s="13"/>
      <c r="M37" s="13">
        <v>4.4000000000000004</v>
      </c>
      <c r="N37" s="13"/>
      <c r="O37" t="s">
        <v>225</v>
      </c>
      <c r="P37" t="s">
        <v>226</v>
      </c>
      <c r="R37" t="s">
        <v>227</v>
      </c>
    </row>
    <row r="38" spans="2:18" ht="100.8" x14ac:dyDescent="0.55000000000000004">
      <c r="B38">
        <v>19</v>
      </c>
      <c r="C38" t="s">
        <v>228</v>
      </c>
      <c r="D38" t="s">
        <v>35</v>
      </c>
      <c r="E38" t="s">
        <v>28</v>
      </c>
      <c r="F38" t="s">
        <v>229</v>
      </c>
      <c r="G38" s="10">
        <v>44988</v>
      </c>
      <c r="H38" s="11" t="s">
        <v>230</v>
      </c>
      <c r="I38" s="13">
        <v>88.9</v>
      </c>
      <c r="J38" s="13"/>
      <c r="K38" s="13"/>
      <c r="L38" s="13">
        <v>0.3</v>
      </c>
      <c r="M38" s="13">
        <v>8.4</v>
      </c>
      <c r="N38" s="13">
        <v>7.5</v>
      </c>
      <c r="O38" t="s">
        <v>231</v>
      </c>
      <c r="P38" t="s">
        <v>232</v>
      </c>
      <c r="Q38" t="s">
        <v>40</v>
      </c>
      <c r="R38" t="s">
        <v>233</v>
      </c>
    </row>
    <row r="39" spans="2:18" ht="86.4" x14ac:dyDescent="0.55000000000000004">
      <c r="B39">
        <v>46</v>
      </c>
      <c r="C39" t="s">
        <v>234</v>
      </c>
      <c r="D39" t="s">
        <v>27</v>
      </c>
      <c r="E39" t="s">
        <v>28</v>
      </c>
      <c r="F39" t="s">
        <v>235</v>
      </c>
      <c r="G39" s="10">
        <v>44958</v>
      </c>
      <c r="H39" s="11" t="s">
        <v>236</v>
      </c>
      <c r="I39" s="13">
        <v>11.77</v>
      </c>
      <c r="J39" s="13">
        <v>11.77</v>
      </c>
      <c r="K39" s="13"/>
      <c r="L39" s="13"/>
      <c r="M39" s="13">
        <v>7.1</v>
      </c>
      <c r="N39" s="13">
        <v>6.4</v>
      </c>
      <c r="O39" t="s">
        <v>237</v>
      </c>
      <c r="Q39" t="s">
        <v>238</v>
      </c>
      <c r="R39" t="s">
        <v>239</v>
      </c>
    </row>
    <row r="40" spans="2:18" ht="43.2" x14ac:dyDescent="0.55000000000000004">
      <c r="B40">
        <v>47</v>
      </c>
      <c r="C40" t="s">
        <v>240</v>
      </c>
      <c r="D40" t="s">
        <v>27</v>
      </c>
      <c r="E40" t="s">
        <v>28</v>
      </c>
      <c r="F40" t="s">
        <v>241</v>
      </c>
      <c r="G40" s="10">
        <v>44942</v>
      </c>
      <c r="H40" s="11" t="s">
        <v>242</v>
      </c>
      <c r="I40" s="13">
        <v>30.274591000000001</v>
      </c>
      <c r="J40" s="13"/>
      <c r="K40" s="13"/>
      <c r="L40" s="13">
        <v>0.4</v>
      </c>
      <c r="M40" s="13">
        <v>2.9</v>
      </c>
      <c r="N40" s="13">
        <v>2.8</v>
      </c>
      <c r="O40" t="s">
        <v>243</v>
      </c>
    </row>
    <row r="41" spans="2:18" ht="72" x14ac:dyDescent="0.55000000000000004">
      <c r="B41">
        <v>36</v>
      </c>
      <c r="C41" t="s">
        <v>244</v>
      </c>
      <c r="D41" t="s">
        <v>27</v>
      </c>
      <c r="E41" t="s">
        <v>28</v>
      </c>
      <c r="F41" t="s">
        <v>245</v>
      </c>
      <c r="G41" s="10">
        <v>44803</v>
      </c>
      <c r="H41" s="11" t="s">
        <v>246</v>
      </c>
      <c r="I41" s="13">
        <v>1.3464</v>
      </c>
      <c r="J41" s="13"/>
      <c r="K41" s="13"/>
      <c r="L41" s="13">
        <v>0.7</v>
      </c>
      <c r="M41" s="13">
        <v>3.1</v>
      </c>
      <c r="N41" s="13">
        <v>3.1</v>
      </c>
      <c r="O41" t="s">
        <v>102</v>
      </c>
      <c r="P41" t="s">
        <v>247</v>
      </c>
      <c r="Q41" t="s">
        <v>58</v>
      </c>
    </row>
    <row r="42" spans="2:18" ht="86.4" x14ac:dyDescent="0.55000000000000004">
      <c r="B42">
        <v>12</v>
      </c>
      <c r="C42" t="s">
        <v>248</v>
      </c>
      <c r="D42" t="s">
        <v>27</v>
      </c>
      <c r="E42" t="s">
        <v>28</v>
      </c>
      <c r="F42" t="s">
        <v>249</v>
      </c>
      <c r="G42" s="10">
        <v>44715</v>
      </c>
      <c r="H42" s="11" t="s">
        <v>250</v>
      </c>
      <c r="I42" s="13">
        <v>30.6</v>
      </c>
      <c r="J42" s="13"/>
      <c r="K42" s="13"/>
      <c r="L42" s="13"/>
      <c r="M42" s="13">
        <v>4.7</v>
      </c>
      <c r="N42" s="13"/>
      <c r="O42" t="s">
        <v>248</v>
      </c>
      <c r="Q42" t="s">
        <v>251</v>
      </c>
      <c r="R42" t="s">
        <v>252</v>
      </c>
    </row>
    <row r="43" spans="2:18" ht="86.4" x14ac:dyDescent="0.55000000000000004">
      <c r="B43">
        <v>16</v>
      </c>
      <c r="C43" t="s">
        <v>253</v>
      </c>
      <c r="D43" t="s">
        <v>27</v>
      </c>
      <c r="E43" t="s">
        <v>28</v>
      </c>
      <c r="F43" t="s">
        <v>249</v>
      </c>
      <c r="G43" s="10">
        <v>44715</v>
      </c>
      <c r="H43" s="11" t="s">
        <v>254</v>
      </c>
      <c r="I43" s="13">
        <v>47.6</v>
      </c>
      <c r="J43" s="13"/>
      <c r="K43" s="13"/>
      <c r="L43" s="13"/>
      <c r="M43" s="13">
        <v>4.7</v>
      </c>
      <c r="N43" s="13"/>
      <c r="O43" t="s">
        <v>248</v>
      </c>
      <c r="Q43" t="s">
        <v>251</v>
      </c>
      <c r="R43" t="s">
        <v>255</v>
      </c>
    </row>
    <row r="44" spans="2:18" ht="57.6" x14ac:dyDescent="0.55000000000000004">
      <c r="B44">
        <v>28</v>
      </c>
      <c r="C44" t="s">
        <v>256</v>
      </c>
      <c r="D44" t="s">
        <v>27</v>
      </c>
      <c r="E44" t="s">
        <v>28</v>
      </c>
      <c r="F44" t="s">
        <v>257</v>
      </c>
      <c r="G44" s="10">
        <v>44680</v>
      </c>
      <c r="H44" s="11" t="s">
        <v>258</v>
      </c>
      <c r="I44" s="13" t="s">
        <v>259</v>
      </c>
      <c r="J44" s="13"/>
      <c r="K44" s="13"/>
      <c r="L44" s="13">
        <v>0.4</v>
      </c>
      <c r="M44" s="13">
        <v>7.6</v>
      </c>
      <c r="N44" s="13">
        <v>9.1</v>
      </c>
      <c r="O44" t="s">
        <v>260</v>
      </c>
      <c r="Q44" t="s">
        <v>32</v>
      </c>
      <c r="R44" t="s">
        <v>261</v>
      </c>
    </row>
    <row r="45" spans="2:18" ht="43.2" x14ac:dyDescent="0.55000000000000004">
      <c r="B45">
        <v>27</v>
      </c>
      <c r="C45" t="s">
        <v>262</v>
      </c>
      <c r="D45" t="s">
        <v>27</v>
      </c>
      <c r="E45" t="s">
        <v>28</v>
      </c>
      <c r="F45" t="s">
        <v>263</v>
      </c>
      <c r="G45" s="10">
        <v>44655</v>
      </c>
      <c r="H45" s="11" t="s">
        <v>264</v>
      </c>
      <c r="I45" s="13">
        <v>2434.4</v>
      </c>
      <c r="J45" s="13"/>
      <c r="K45" s="13"/>
      <c r="L45" s="13">
        <v>11.4</v>
      </c>
      <c r="M45" s="13">
        <v>17.899999999999999</v>
      </c>
      <c r="N45" s="13"/>
      <c r="O45" t="s">
        <v>265</v>
      </c>
      <c r="P45" t="s">
        <v>266</v>
      </c>
      <c r="Q45" t="s">
        <v>251</v>
      </c>
      <c r="R45" t="s">
        <v>267</v>
      </c>
    </row>
    <row r="46" spans="2:18" ht="28.8" x14ac:dyDescent="0.55000000000000004">
      <c r="B46">
        <v>31</v>
      </c>
      <c r="C46" t="s">
        <v>74</v>
      </c>
      <c r="D46" t="s">
        <v>27</v>
      </c>
      <c r="F46" t="s">
        <v>268</v>
      </c>
      <c r="G46" s="10">
        <v>44643</v>
      </c>
      <c r="H46" s="11" t="s">
        <v>269</v>
      </c>
      <c r="I46" s="13" t="s">
        <v>270</v>
      </c>
      <c r="J46" s="13"/>
      <c r="K46" s="13"/>
      <c r="L46" s="13">
        <v>1.2</v>
      </c>
      <c r="M46" s="13">
        <v>6.9</v>
      </c>
      <c r="N46" s="13">
        <v>5.5</v>
      </c>
      <c r="O46" t="s">
        <v>271</v>
      </c>
      <c r="Q46" t="s">
        <v>40</v>
      </c>
      <c r="R46" t="s">
        <v>78</v>
      </c>
    </row>
    <row r="47" spans="2:18" ht="57.6" x14ac:dyDescent="0.55000000000000004">
      <c r="B47">
        <v>24</v>
      </c>
      <c r="C47" t="s">
        <v>272</v>
      </c>
      <c r="D47" t="s">
        <v>27</v>
      </c>
      <c r="E47" t="s">
        <v>28</v>
      </c>
      <c r="F47" t="s">
        <v>273</v>
      </c>
      <c r="G47" s="10">
        <v>44594</v>
      </c>
      <c r="H47" s="11" t="s">
        <v>274</v>
      </c>
      <c r="I47" s="13">
        <v>3.2174999999999998</v>
      </c>
      <c r="J47" s="13"/>
      <c r="K47" s="13"/>
      <c r="L47" s="13">
        <v>1.3</v>
      </c>
      <c r="M47" s="13">
        <v>8.3000000000000007</v>
      </c>
      <c r="N47" s="13">
        <v>6.8</v>
      </c>
      <c r="O47" t="s">
        <v>275</v>
      </c>
      <c r="Q47" t="s">
        <v>58</v>
      </c>
      <c r="R47" t="s">
        <v>276</v>
      </c>
    </row>
    <row r="48" spans="2:18" ht="57.6" x14ac:dyDescent="0.55000000000000004">
      <c r="B48">
        <v>48</v>
      </c>
      <c r="C48" t="s">
        <v>277</v>
      </c>
      <c r="D48" t="s">
        <v>27</v>
      </c>
      <c r="E48" t="s">
        <v>28</v>
      </c>
      <c r="F48" t="s">
        <v>278</v>
      </c>
      <c r="G48" s="10">
        <v>44570</v>
      </c>
      <c r="H48" s="11" t="s">
        <v>279</v>
      </c>
      <c r="I48" s="13"/>
      <c r="J48" s="13" t="s">
        <v>280</v>
      </c>
      <c r="K48" s="13"/>
      <c r="L48" s="13">
        <v>1.1000000000000001</v>
      </c>
      <c r="M48" s="13">
        <v>7.3</v>
      </c>
      <c r="N48" s="13">
        <v>7.3</v>
      </c>
      <c r="O48" t="s">
        <v>281</v>
      </c>
      <c r="R48" t="s">
        <v>282</v>
      </c>
    </row>
    <row r="49" spans="2:18" ht="57.6" x14ac:dyDescent="0.55000000000000004">
      <c r="B49">
        <v>58</v>
      </c>
      <c r="C49" t="s">
        <v>283</v>
      </c>
      <c r="D49" t="s">
        <v>27</v>
      </c>
      <c r="E49" t="s">
        <v>28</v>
      </c>
      <c r="F49" t="s">
        <v>284</v>
      </c>
      <c r="G49" s="10">
        <v>44562</v>
      </c>
      <c r="H49" s="11" t="s">
        <v>285</v>
      </c>
      <c r="I49" s="13">
        <v>0.1615</v>
      </c>
      <c r="J49" s="13"/>
      <c r="K49" s="13"/>
      <c r="L49" s="13">
        <v>0.1</v>
      </c>
      <c r="M49" s="13">
        <v>0.4</v>
      </c>
      <c r="N49" s="13">
        <v>0.4</v>
      </c>
      <c r="O49" t="s">
        <v>286</v>
      </c>
      <c r="Q49" t="s">
        <v>32</v>
      </c>
      <c r="R49" t="s">
        <v>287</v>
      </c>
    </row>
    <row r="50" spans="2:18" ht="72" x14ac:dyDescent="0.55000000000000004">
      <c r="B50">
        <v>33</v>
      </c>
      <c r="C50" t="s">
        <v>288</v>
      </c>
      <c r="D50" t="s">
        <v>27</v>
      </c>
      <c r="E50" t="s">
        <v>28</v>
      </c>
      <c r="F50" t="s">
        <v>289</v>
      </c>
      <c r="G50" s="10">
        <v>44538</v>
      </c>
      <c r="H50" s="11" t="s">
        <v>290</v>
      </c>
      <c r="I50" s="13">
        <v>35.200000000000003</v>
      </c>
      <c r="J50" s="13"/>
      <c r="K50" s="13"/>
      <c r="L50" s="13">
        <v>0.6</v>
      </c>
      <c r="M50" s="13" t="s">
        <v>291</v>
      </c>
      <c r="N50" s="13">
        <v>14.4</v>
      </c>
      <c r="O50" t="s">
        <v>292</v>
      </c>
      <c r="P50" t="s">
        <v>293</v>
      </c>
      <c r="Q50" t="s">
        <v>40</v>
      </c>
      <c r="R50" t="s">
        <v>198</v>
      </c>
    </row>
    <row r="51" spans="2:18" ht="86.4" x14ac:dyDescent="0.55000000000000004">
      <c r="B51" s="15">
        <v>2</v>
      </c>
      <c r="C51" s="15" t="s">
        <v>294</v>
      </c>
      <c r="D51" s="15" t="s">
        <v>27</v>
      </c>
      <c r="E51" s="15" t="s">
        <v>28</v>
      </c>
      <c r="F51" s="15" t="s">
        <v>295</v>
      </c>
      <c r="G51" s="10">
        <v>44488</v>
      </c>
      <c r="H51" s="20" t="s">
        <v>296</v>
      </c>
      <c r="I51" s="21">
        <v>242.55</v>
      </c>
      <c r="J51" s="21"/>
      <c r="K51" s="21"/>
      <c r="L51" s="21">
        <v>0.2</v>
      </c>
      <c r="M51" s="21">
        <v>1.5</v>
      </c>
      <c r="N51" s="21"/>
      <c r="O51" s="15" t="s">
        <v>297</v>
      </c>
      <c r="P51" s="15"/>
      <c r="Q51" s="15" t="s">
        <v>170</v>
      </c>
      <c r="R51" s="15" t="s">
        <v>298</v>
      </c>
    </row>
    <row r="52" spans="2:18" ht="72" x14ac:dyDescent="0.55000000000000004">
      <c r="B52">
        <v>20</v>
      </c>
      <c r="C52" t="s">
        <v>299</v>
      </c>
      <c r="D52" t="s">
        <v>27</v>
      </c>
      <c r="E52" t="s">
        <v>28</v>
      </c>
      <c r="F52" t="s">
        <v>300</v>
      </c>
      <c r="G52" s="10">
        <v>44386</v>
      </c>
      <c r="H52" s="11" t="s">
        <v>301</v>
      </c>
      <c r="I52" s="13">
        <v>15.865</v>
      </c>
      <c r="J52" s="13"/>
      <c r="K52" s="13"/>
      <c r="L52" s="13">
        <v>1.5</v>
      </c>
      <c r="M52" s="13">
        <v>6.2</v>
      </c>
      <c r="N52" s="13">
        <v>6.2</v>
      </c>
      <c r="O52" t="s">
        <v>302</v>
      </c>
      <c r="Q52" t="s">
        <v>58</v>
      </c>
    </row>
    <row r="53" spans="2:18" x14ac:dyDescent="0.55000000000000004">
      <c r="G53" s="10"/>
      <c r="I53" s="13"/>
      <c r="J53" s="13"/>
      <c r="K53" s="13"/>
      <c r="L53" s="13"/>
      <c r="M53" s="13"/>
      <c r="N53" s="13"/>
    </row>
    <row r="54" spans="2:18" x14ac:dyDescent="0.55000000000000004">
      <c r="G54" s="10"/>
      <c r="I54" s="13"/>
      <c r="J54" s="13"/>
      <c r="K54" s="13"/>
      <c r="M54" s="13"/>
      <c r="N54" s="13"/>
    </row>
    <row r="55" spans="2:18" x14ac:dyDescent="0.55000000000000004">
      <c r="B55" t="s">
        <v>3</v>
      </c>
      <c r="G55" s="10"/>
      <c r="L55" s="13">
        <f>MEDIAN(L3:L52)</f>
        <v>0.7</v>
      </c>
      <c r="M55" s="13">
        <f>MEDIAN(M3:M52)</f>
        <v>7.4499999999999993</v>
      </c>
      <c r="N55" s="13">
        <f>MEDIAN(N3:N52)</f>
        <v>6.8</v>
      </c>
    </row>
    <row r="56" spans="2:18" x14ac:dyDescent="0.55000000000000004">
      <c r="B56" t="s">
        <v>4</v>
      </c>
      <c r="L56" s="13">
        <f>AVERAGE(L3:L52)</f>
        <v>2.1837209302325582</v>
      </c>
      <c r="M56" s="13">
        <f>AVERAGE(M3:M52)</f>
        <v>15.567391304347831</v>
      </c>
      <c r="N56" s="13">
        <f>AVERAGE(N3:N52)</f>
        <v>10.508108108108109</v>
      </c>
    </row>
    <row r="57" spans="2:18" x14ac:dyDescent="0.55000000000000004">
      <c r="B57" t="s">
        <v>2</v>
      </c>
      <c r="L57" s="13">
        <f>MIN(L3:L52)</f>
        <v>0.1</v>
      </c>
      <c r="M57" s="13">
        <f>MIN(M3:M52)</f>
        <v>0.4</v>
      </c>
      <c r="N57" s="13">
        <f>MIN(N3:N52)</f>
        <v>0.4</v>
      </c>
    </row>
    <row r="58" spans="2:18" x14ac:dyDescent="0.55000000000000004">
      <c r="B58" t="s">
        <v>5</v>
      </c>
      <c r="L58" s="13">
        <f>MAX(L3:L52)</f>
        <v>13.8</v>
      </c>
      <c r="M58" s="13">
        <f>MAX(M3:M52)</f>
        <v>225.3</v>
      </c>
      <c r="N58" s="13">
        <f>MAX(N3:N52)</f>
        <v>54.2</v>
      </c>
    </row>
    <row r="59" spans="2:18" x14ac:dyDescent="0.55000000000000004">
      <c r="L59" s="13"/>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18375-713A-4FE6-A464-574B191A541D}">
  <sheetPr codeName="Sheet5"/>
  <dimension ref="B3:L29"/>
  <sheetViews>
    <sheetView showGridLines="0" zoomScale="84" workbookViewId="0">
      <pane xSplit="2" ySplit="4" topLeftCell="C11" activePane="bottomRight" state="frozen"/>
      <selection activeCell="D13" sqref="D13"/>
      <selection pane="topRight" activeCell="D13" sqref="D13"/>
      <selection pane="bottomLeft" activeCell="D13" sqref="D13"/>
      <selection pane="bottomRight" activeCell="B4" sqref="B4"/>
    </sheetView>
  </sheetViews>
  <sheetFormatPr defaultRowHeight="12.9" x14ac:dyDescent="0.5"/>
  <cols>
    <col min="1" max="1" width="8.83984375" style="25"/>
    <col min="2" max="2" width="19.578125" style="25" customWidth="1"/>
    <col min="3" max="3" width="8" style="25" bestFit="1" customWidth="1"/>
    <col min="4" max="4" width="6.20703125" style="25" bestFit="1" customWidth="1"/>
    <col min="5" max="5" width="8.83984375" style="25"/>
    <col min="6" max="6" width="14.734375" style="25" bestFit="1" customWidth="1"/>
    <col min="7" max="7" width="14.9453125" style="25" bestFit="1" customWidth="1"/>
    <col min="8" max="8" width="10.62890625" style="25" bestFit="1" customWidth="1"/>
    <col min="9" max="9" width="9.83984375" style="25" bestFit="1" customWidth="1"/>
    <col min="10" max="10" width="7.41796875" style="25" bestFit="1" customWidth="1"/>
    <col min="11" max="11" width="8.68359375" style="25" bestFit="1" customWidth="1"/>
    <col min="12" max="12" width="21.83984375" style="25" bestFit="1" customWidth="1"/>
    <col min="13" max="16384" width="8.83984375" style="25"/>
  </cols>
  <sheetData>
    <row r="3" spans="2:12" x14ac:dyDescent="0.5">
      <c r="B3" s="23" t="s">
        <v>462</v>
      </c>
      <c r="C3" s="23"/>
      <c r="D3" s="23"/>
      <c r="E3" s="23"/>
      <c r="F3" s="24"/>
      <c r="G3" s="24"/>
      <c r="H3" s="24"/>
      <c r="I3" s="24"/>
      <c r="J3" s="24"/>
      <c r="K3" s="23"/>
      <c r="L3" s="23"/>
    </row>
    <row r="4" spans="2:12" x14ac:dyDescent="0.5">
      <c r="B4" s="23" t="s">
        <v>303</v>
      </c>
      <c r="C4" s="23" t="s">
        <v>304</v>
      </c>
      <c r="D4" s="23" t="s">
        <v>305</v>
      </c>
      <c r="E4" s="23" t="s">
        <v>306</v>
      </c>
      <c r="F4" s="24" t="s">
        <v>307</v>
      </c>
      <c r="G4" s="24" t="s">
        <v>308</v>
      </c>
      <c r="H4" s="24" t="s">
        <v>309</v>
      </c>
      <c r="I4" s="24" t="s">
        <v>7</v>
      </c>
      <c r="J4" s="24" t="s">
        <v>310</v>
      </c>
      <c r="K4" s="23" t="s">
        <v>311</v>
      </c>
      <c r="L4" s="23" t="s">
        <v>312</v>
      </c>
    </row>
    <row r="6" spans="2:12" ht="61.5" x14ac:dyDescent="0.5">
      <c r="B6" s="26" t="s">
        <v>313</v>
      </c>
      <c r="C6" s="27" t="s">
        <v>314</v>
      </c>
      <c r="D6" s="28">
        <v>46082</v>
      </c>
      <c r="E6" s="29" t="s">
        <v>315</v>
      </c>
      <c r="F6" s="30">
        <v>100</v>
      </c>
      <c r="G6" s="30" t="s">
        <v>316</v>
      </c>
      <c r="H6" s="30">
        <v>2.7</v>
      </c>
      <c r="I6" s="30">
        <v>12</v>
      </c>
      <c r="J6" s="30">
        <v>7.4</v>
      </c>
      <c r="K6" s="31" t="s">
        <v>47</v>
      </c>
      <c r="L6" s="27" t="s">
        <v>317</v>
      </c>
    </row>
    <row r="7" spans="2:12" ht="49.2" x14ac:dyDescent="0.5">
      <c r="B7" s="26" t="s">
        <v>318</v>
      </c>
      <c r="C7" s="27" t="s">
        <v>319</v>
      </c>
      <c r="D7" s="28">
        <v>45962</v>
      </c>
      <c r="E7" s="32" t="s">
        <v>320</v>
      </c>
      <c r="F7" s="30">
        <v>12.9</v>
      </c>
      <c r="G7" s="30">
        <v>13.1</v>
      </c>
      <c r="H7" s="30">
        <v>12.9</v>
      </c>
      <c r="I7" s="30">
        <v>9.4</v>
      </c>
      <c r="J7" s="30">
        <v>9.1</v>
      </c>
      <c r="K7" s="31" t="s">
        <v>321</v>
      </c>
      <c r="L7" s="27" t="s">
        <v>322</v>
      </c>
    </row>
    <row r="8" spans="2:12" ht="49.2" x14ac:dyDescent="0.5">
      <c r="B8" s="26" t="s">
        <v>93</v>
      </c>
      <c r="C8" s="27" t="s">
        <v>314</v>
      </c>
      <c r="D8" s="28">
        <v>45748</v>
      </c>
      <c r="E8" s="29" t="s">
        <v>323</v>
      </c>
      <c r="F8" s="30">
        <v>29.8</v>
      </c>
      <c r="G8" s="30" t="s">
        <v>316</v>
      </c>
      <c r="H8" s="30">
        <v>0.1</v>
      </c>
      <c r="I8" s="30">
        <v>8.1</v>
      </c>
      <c r="J8" s="30">
        <v>5.9</v>
      </c>
      <c r="K8" s="31" t="s">
        <v>324</v>
      </c>
      <c r="L8" s="27" t="s">
        <v>325</v>
      </c>
    </row>
    <row r="9" spans="2:12" ht="49.2" x14ac:dyDescent="0.5">
      <c r="B9" s="26" t="s">
        <v>180</v>
      </c>
      <c r="C9" s="27" t="s">
        <v>314</v>
      </c>
      <c r="D9" s="28">
        <v>45200</v>
      </c>
      <c r="E9" s="29" t="s">
        <v>326</v>
      </c>
      <c r="F9" s="30">
        <v>16.5</v>
      </c>
      <c r="G9" s="30" t="s">
        <v>316</v>
      </c>
      <c r="H9" s="30">
        <v>0.6</v>
      </c>
      <c r="I9" s="30">
        <v>8.1</v>
      </c>
      <c r="J9" s="30">
        <v>8.1</v>
      </c>
      <c r="K9" s="31" t="s">
        <v>327</v>
      </c>
      <c r="L9" s="27" t="s">
        <v>328</v>
      </c>
    </row>
    <row r="10" spans="2:12" ht="61.5" x14ac:dyDescent="0.5">
      <c r="B10" s="26" t="s">
        <v>185</v>
      </c>
      <c r="C10" s="27" t="s">
        <v>329</v>
      </c>
      <c r="D10" s="28">
        <v>45139</v>
      </c>
      <c r="E10" s="33" t="s">
        <v>330</v>
      </c>
      <c r="F10" s="30">
        <v>440</v>
      </c>
      <c r="G10" s="34">
        <v>1947</v>
      </c>
      <c r="H10" s="30">
        <v>5.6</v>
      </c>
      <c r="I10" s="30">
        <v>18.7</v>
      </c>
      <c r="J10" s="30">
        <v>18.8</v>
      </c>
      <c r="K10" s="31" t="s">
        <v>331</v>
      </c>
      <c r="L10" s="27" t="s">
        <v>332</v>
      </c>
    </row>
    <row r="11" spans="2:12" ht="49.2" x14ac:dyDescent="0.5">
      <c r="B11" s="26" t="s">
        <v>192</v>
      </c>
      <c r="C11" s="27" t="s">
        <v>333</v>
      </c>
      <c r="D11" s="28">
        <v>45078</v>
      </c>
      <c r="E11" s="32" t="s">
        <v>334</v>
      </c>
      <c r="F11" s="30">
        <v>52</v>
      </c>
      <c r="G11" s="30" t="s">
        <v>316</v>
      </c>
      <c r="H11" s="30">
        <v>2.1</v>
      </c>
      <c r="I11" s="30">
        <v>8.6999999999999993</v>
      </c>
      <c r="J11" s="30">
        <v>6.1</v>
      </c>
      <c r="K11" s="31" t="s">
        <v>335</v>
      </c>
      <c r="L11" s="27" t="s">
        <v>336</v>
      </c>
    </row>
    <row r="13" spans="2:12" x14ac:dyDescent="0.5">
      <c r="B13" s="26"/>
      <c r="C13" s="27"/>
      <c r="D13" s="28"/>
      <c r="E13" s="33"/>
      <c r="F13" s="34"/>
      <c r="G13" s="30"/>
      <c r="H13" s="30"/>
      <c r="I13" s="30"/>
      <c r="J13" s="30"/>
      <c r="K13" s="31"/>
      <c r="L13" s="27"/>
    </row>
    <row r="14" spans="2:12" x14ac:dyDescent="0.5">
      <c r="B14" s="26"/>
      <c r="C14" s="27"/>
      <c r="D14" s="28"/>
      <c r="E14" s="33"/>
      <c r="F14" s="34"/>
      <c r="G14" s="30"/>
      <c r="H14" s="30"/>
      <c r="I14" s="30"/>
      <c r="J14" s="30"/>
      <c r="K14" s="31"/>
      <c r="L14" s="27"/>
    </row>
    <row r="15" spans="2:12" x14ac:dyDescent="0.5">
      <c r="B15" s="35" t="s">
        <v>2</v>
      </c>
      <c r="C15" s="36"/>
      <c r="D15" s="37"/>
      <c r="E15" s="38"/>
      <c r="F15" s="39"/>
      <c r="G15" s="40"/>
      <c r="H15" s="40">
        <f>MIN(H5:H12)</f>
        <v>0.1</v>
      </c>
      <c r="I15" s="40">
        <f>MIN(I5:I12)</f>
        <v>8.1</v>
      </c>
      <c r="J15" s="40">
        <f>MIN(J5:J12)</f>
        <v>5.9</v>
      </c>
      <c r="K15" s="41"/>
      <c r="L15" s="36"/>
    </row>
    <row r="16" spans="2:12" x14ac:dyDescent="0.5">
      <c r="B16" s="35" t="s">
        <v>3</v>
      </c>
      <c r="C16" s="36"/>
      <c r="D16" s="37"/>
      <c r="E16" s="38"/>
      <c r="F16" s="39"/>
      <c r="G16" s="40"/>
      <c r="H16" s="42">
        <f>MEDIAN(H5:H12)</f>
        <v>2.4000000000000004</v>
      </c>
      <c r="I16" s="42">
        <f>MEDIAN(I5:I12)</f>
        <v>9.0500000000000007</v>
      </c>
      <c r="J16" s="42">
        <f>MEDIAN(J5:J12)</f>
        <v>7.75</v>
      </c>
      <c r="K16" s="41"/>
      <c r="L16" s="36"/>
    </row>
    <row r="17" spans="2:12" x14ac:dyDescent="0.5">
      <c r="B17" s="35" t="s">
        <v>5</v>
      </c>
      <c r="C17" s="36"/>
      <c r="D17" s="37"/>
      <c r="E17" s="38"/>
      <c r="F17" s="39"/>
      <c r="G17" s="40"/>
      <c r="H17" s="40">
        <f>MAX(H5:H12)</f>
        <v>12.9</v>
      </c>
      <c r="I17" s="40">
        <f>MAX(I5:I12)</f>
        <v>18.7</v>
      </c>
      <c r="J17" s="40">
        <f>MAX(J5:J12)</f>
        <v>18.8</v>
      </c>
      <c r="K17" s="41"/>
      <c r="L17" s="36"/>
    </row>
    <row r="18" spans="2:12" x14ac:dyDescent="0.5">
      <c r="B18" s="35" t="s">
        <v>4</v>
      </c>
      <c r="C18" s="36"/>
      <c r="D18" s="37"/>
      <c r="E18" s="38"/>
      <c r="F18" s="39"/>
      <c r="G18" s="40"/>
      <c r="H18" s="42">
        <f>AVERAGE(H5:H12)</f>
        <v>4</v>
      </c>
      <c r="I18" s="42">
        <f>AVERAGE(I5:I12)</f>
        <v>10.833333333333334</v>
      </c>
      <c r="J18" s="42">
        <f>AVERAGE(J5:J12)</f>
        <v>9.2333333333333325</v>
      </c>
      <c r="K18" s="41"/>
      <c r="L18" s="36"/>
    </row>
    <row r="19" spans="2:12" x14ac:dyDescent="0.5">
      <c r="B19" s="26"/>
      <c r="C19" s="27"/>
      <c r="D19" s="28"/>
      <c r="E19" s="33"/>
      <c r="F19" s="43"/>
      <c r="G19" s="44"/>
      <c r="H19" s="45"/>
      <c r="I19" s="45"/>
      <c r="J19" s="45"/>
      <c r="K19" s="27"/>
      <c r="L19" s="27"/>
    </row>
    <row r="20" spans="2:12" ht="41.4" customHeight="1" x14ac:dyDescent="0.5">
      <c r="B20" s="46" t="s">
        <v>337</v>
      </c>
      <c r="C20" s="46"/>
      <c r="D20" s="46"/>
      <c r="E20" s="46"/>
      <c r="F20" s="46"/>
      <c r="G20" s="46"/>
      <c r="H20" s="46"/>
      <c r="I20" s="46"/>
      <c r="J20" s="46"/>
      <c r="K20" s="46"/>
      <c r="L20" s="46"/>
    </row>
    <row r="21" spans="2:12" ht="41.4" customHeight="1" x14ac:dyDescent="0.5">
      <c r="B21" s="23" t="s">
        <v>461</v>
      </c>
      <c r="C21" s="23"/>
      <c r="D21" s="23"/>
      <c r="E21" s="23"/>
      <c r="F21" s="23"/>
      <c r="G21" s="23"/>
      <c r="H21" s="23"/>
      <c r="I21" s="23"/>
      <c r="J21" s="23"/>
      <c r="K21" s="23"/>
      <c r="L21" s="23"/>
    </row>
    <row r="23" spans="2:12" ht="49.2" x14ac:dyDescent="0.5">
      <c r="B23" s="26" t="s">
        <v>120</v>
      </c>
      <c r="C23" s="27" t="s">
        <v>338</v>
      </c>
      <c r="D23" s="28">
        <v>45597</v>
      </c>
      <c r="E23" s="47" t="s">
        <v>339</v>
      </c>
      <c r="F23" s="30">
        <v>16.5</v>
      </c>
      <c r="G23" s="30" t="s">
        <v>316</v>
      </c>
      <c r="H23" s="30">
        <v>1.6</v>
      </c>
      <c r="I23" s="30">
        <v>27.1</v>
      </c>
      <c r="J23" s="30">
        <v>25.6</v>
      </c>
      <c r="K23" s="31" t="s">
        <v>340</v>
      </c>
      <c r="L23" s="27" t="s">
        <v>341</v>
      </c>
    </row>
    <row r="24" spans="2:12" ht="49.2" x14ac:dyDescent="0.5">
      <c r="B24" s="26" t="s">
        <v>342</v>
      </c>
      <c r="C24" s="27" t="s">
        <v>343</v>
      </c>
      <c r="D24" s="28">
        <v>45444</v>
      </c>
      <c r="E24" s="33" t="s">
        <v>344</v>
      </c>
      <c r="F24" s="30">
        <v>330</v>
      </c>
      <c r="G24" s="30" t="s">
        <v>316</v>
      </c>
      <c r="H24" s="30">
        <v>13.8</v>
      </c>
      <c r="I24" s="30">
        <v>71.900000000000006</v>
      </c>
      <c r="J24" s="30">
        <v>54.2</v>
      </c>
      <c r="K24" s="31" t="s">
        <v>345</v>
      </c>
      <c r="L24" s="27" t="s">
        <v>346</v>
      </c>
    </row>
    <row r="25" spans="2:12" ht="49.2" x14ac:dyDescent="0.5">
      <c r="B25" s="26" t="s">
        <v>165</v>
      </c>
      <c r="C25" s="27" t="s">
        <v>347</v>
      </c>
      <c r="D25" s="28">
        <v>45292</v>
      </c>
      <c r="E25" s="32" t="s">
        <v>348</v>
      </c>
      <c r="F25" s="30">
        <v>44</v>
      </c>
      <c r="G25" s="30">
        <v>44</v>
      </c>
      <c r="H25" s="30">
        <v>0.5</v>
      </c>
      <c r="I25" s="30">
        <v>0.8</v>
      </c>
      <c r="J25" s="30">
        <v>0.7</v>
      </c>
      <c r="K25" s="31" t="s">
        <v>169</v>
      </c>
      <c r="L25" s="27" t="s">
        <v>349</v>
      </c>
    </row>
    <row r="26" spans="2:12" ht="61.5" x14ac:dyDescent="0.5">
      <c r="B26" s="26" t="s">
        <v>350</v>
      </c>
      <c r="C26" s="27" t="s">
        <v>351</v>
      </c>
      <c r="D26" s="28">
        <v>46082</v>
      </c>
      <c r="E26" s="29" t="s">
        <v>352</v>
      </c>
      <c r="F26" s="30">
        <v>1.8</v>
      </c>
      <c r="G26" s="30" t="s">
        <v>316</v>
      </c>
      <c r="H26" s="30">
        <v>0.5</v>
      </c>
      <c r="I26" s="30">
        <v>4.7</v>
      </c>
      <c r="J26" s="30">
        <v>4.7</v>
      </c>
      <c r="K26" s="31" t="s">
        <v>31</v>
      </c>
      <c r="L26" s="27" t="s">
        <v>353</v>
      </c>
    </row>
    <row r="27" spans="2:12" ht="61.5" x14ac:dyDescent="0.5">
      <c r="B27" s="26" t="s">
        <v>354</v>
      </c>
      <c r="C27" s="27" t="s">
        <v>355</v>
      </c>
      <c r="D27" s="28">
        <v>45901</v>
      </c>
      <c r="E27" s="47" t="s">
        <v>356</v>
      </c>
      <c r="F27" s="30" t="s">
        <v>316</v>
      </c>
      <c r="G27" s="30" t="s">
        <v>316</v>
      </c>
      <c r="H27" s="30" t="s">
        <v>316</v>
      </c>
      <c r="I27" s="30" t="s">
        <v>316</v>
      </c>
      <c r="J27" s="30" t="s">
        <v>316</v>
      </c>
      <c r="K27" s="31" t="s">
        <v>357</v>
      </c>
      <c r="L27" s="27" t="s">
        <v>358</v>
      </c>
    </row>
    <row r="28" spans="2:12" ht="61.5" x14ac:dyDescent="0.5">
      <c r="B28" s="26" t="s">
        <v>359</v>
      </c>
      <c r="C28" s="27" t="s">
        <v>355</v>
      </c>
      <c r="D28" s="28">
        <v>45261</v>
      </c>
      <c r="E28" s="47" t="s">
        <v>360</v>
      </c>
      <c r="F28" s="30" t="s">
        <v>316</v>
      </c>
      <c r="G28" s="30" t="s">
        <v>316</v>
      </c>
      <c r="H28" s="30" t="s">
        <v>316</v>
      </c>
      <c r="I28" s="30" t="s">
        <v>316</v>
      </c>
      <c r="J28" s="30" t="s">
        <v>316</v>
      </c>
      <c r="K28" s="31" t="s">
        <v>361</v>
      </c>
      <c r="L28" s="27" t="s">
        <v>362</v>
      </c>
    </row>
    <row r="29" spans="2:12" ht="61.5" x14ac:dyDescent="0.5">
      <c r="B29" s="26" t="s">
        <v>363</v>
      </c>
      <c r="C29" s="27" t="s">
        <v>338</v>
      </c>
      <c r="D29" s="28">
        <v>44440</v>
      </c>
      <c r="E29" s="32" t="s">
        <v>364</v>
      </c>
      <c r="F29" s="30">
        <v>71.5</v>
      </c>
      <c r="G29" s="30" t="s">
        <v>316</v>
      </c>
      <c r="H29" s="30">
        <v>14.7</v>
      </c>
      <c r="I29" s="30" t="s">
        <v>316</v>
      </c>
      <c r="J29" s="30" t="s">
        <v>316</v>
      </c>
      <c r="K29" s="31" t="s">
        <v>365</v>
      </c>
      <c r="L29" s="27" t="s">
        <v>366</v>
      </c>
    </row>
  </sheetData>
  <mergeCells count="1">
    <mergeCell ref="B20:L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6EB81-CD43-48F2-98B0-C3D7AD5B984D}">
  <sheetPr codeName="Sheet6">
    <tabColor rgb="FF002060"/>
  </sheetPr>
  <dimension ref="A1"/>
  <sheetViews>
    <sheetView topLeftCell="XED1" workbookViewId="0">
      <selection activeCell="D13" sqref="D13"/>
    </sheetView>
  </sheetViews>
  <sheetFormatPr defaultRowHeight="14.4" x14ac:dyDescent="0.55000000000000004"/>
  <cols>
    <col min="1" max="16384" width="8.83984375" style="6"/>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DC679-9428-488D-8EAA-2D987579F20D}">
  <sheetPr codeName="Sheet7"/>
  <dimension ref="B2:AA31"/>
  <sheetViews>
    <sheetView showGridLines="0" workbookViewId="0">
      <pane xSplit="3" ySplit="3" topLeftCell="I4" activePane="bottomRight" state="frozen"/>
      <selection activeCell="D13" sqref="D13"/>
      <selection pane="topRight" activeCell="D13" sqref="D13"/>
      <selection pane="bottomLeft" activeCell="D13" sqref="D13"/>
      <selection pane="bottomRight" activeCell="B33" sqref="B33"/>
    </sheetView>
  </sheetViews>
  <sheetFormatPr defaultRowHeight="14.4" x14ac:dyDescent="0.55000000000000004"/>
  <cols>
    <col min="2" max="2" width="14.734375" customWidth="1"/>
    <col min="3" max="3" width="22.15625" customWidth="1"/>
    <col min="4" max="4" width="44.3125" customWidth="1"/>
    <col min="5" max="5" width="17.26171875" bestFit="1" customWidth="1"/>
    <col min="6" max="6" width="22.15625" customWidth="1"/>
    <col min="7" max="8" width="14.734375" customWidth="1"/>
    <col min="9" max="9" width="22.15625" customWidth="1"/>
    <col min="10" max="11" width="14.734375" customWidth="1"/>
    <col min="12" max="15" width="22.15625" customWidth="1"/>
    <col min="16" max="16" width="14.734375" customWidth="1"/>
    <col min="17" max="17" width="22.15625" customWidth="1"/>
    <col min="18" max="18" width="14.734375" customWidth="1"/>
    <col min="19" max="19" width="18.15625" customWidth="1"/>
    <col min="20" max="20" width="26.20703125" customWidth="1"/>
    <col min="21" max="21" width="33.62890625" bestFit="1" customWidth="1"/>
    <col min="22" max="22" width="14.734375" customWidth="1"/>
    <col min="23" max="23" width="18.9453125" customWidth="1"/>
    <col min="24" max="24" width="32.62890625" customWidth="1"/>
    <col min="25" max="27" width="14.734375" customWidth="1"/>
  </cols>
  <sheetData>
    <row r="2" spans="2:27" x14ac:dyDescent="0.55000000000000004">
      <c r="B2" s="1" t="s">
        <v>463</v>
      </c>
    </row>
    <row r="3" spans="2:27" x14ac:dyDescent="0.55000000000000004">
      <c r="B3" s="48" t="s">
        <v>367</v>
      </c>
      <c r="C3" s="48" t="s">
        <v>368</v>
      </c>
      <c r="D3" s="48" t="s">
        <v>369</v>
      </c>
      <c r="E3" s="48" t="s">
        <v>304</v>
      </c>
      <c r="F3" s="48" t="s">
        <v>370</v>
      </c>
      <c r="G3" s="48" t="s">
        <v>371</v>
      </c>
      <c r="H3" s="48" t="s">
        <v>372</v>
      </c>
      <c r="I3" s="48" t="s">
        <v>373</v>
      </c>
      <c r="J3" s="48" t="s">
        <v>374</v>
      </c>
      <c r="K3" s="48" t="s">
        <v>375</v>
      </c>
      <c r="L3" s="48" t="s">
        <v>376</v>
      </c>
      <c r="M3" s="48" t="s">
        <v>377</v>
      </c>
      <c r="N3" s="48"/>
      <c r="O3" s="48"/>
      <c r="P3" s="48" t="s">
        <v>378</v>
      </c>
      <c r="Q3" s="48" t="s">
        <v>379</v>
      </c>
      <c r="R3" s="48" t="s">
        <v>380</v>
      </c>
      <c r="S3" s="48" t="s">
        <v>381</v>
      </c>
      <c r="T3" s="48" t="s">
        <v>382</v>
      </c>
      <c r="U3" s="48" t="s">
        <v>383</v>
      </c>
      <c r="V3" s="48" t="s">
        <v>384</v>
      </c>
      <c r="W3" s="48" t="s">
        <v>385</v>
      </c>
      <c r="X3" s="48" t="s">
        <v>386</v>
      </c>
      <c r="Y3" s="48" t="s">
        <v>387</v>
      </c>
      <c r="Z3" s="48" t="s">
        <v>388</v>
      </c>
      <c r="AA3" s="48" t="s">
        <v>389</v>
      </c>
    </row>
    <row r="4" spans="2:27" x14ac:dyDescent="0.55000000000000004">
      <c r="B4" s="49">
        <v>11028540</v>
      </c>
      <c r="C4" s="49" t="s">
        <v>390</v>
      </c>
      <c r="D4" s="49" t="s">
        <v>391</v>
      </c>
      <c r="E4" s="49" t="s">
        <v>392</v>
      </c>
      <c r="F4" s="50" t="s">
        <v>393</v>
      </c>
      <c r="G4" s="51">
        <v>590</v>
      </c>
      <c r="H4" s="49" t="s">
        <v>394</v>
      </c>
      <c r="I4" s="51">
        <v>216.1122048</v>
      </c>
      <c r="J4" s="52">
        <v>0.1005670513875327</v>
      </c>
      <c r="K4" s="51">
        <f>M4*S4</f>
        <v>859.42735012224</v>
      </c>
      <c r="L4" s="51">
        <v>216.1122048</v>
      </c>
      <c r="M4" s="51">
        <v>97.524777599999993</v>
      </c>
      <c r="N4" s="51"/>
      <c r="O4" s="51"/>
      <c r="P4" s="52">
        <v>0.45126918070293082</v>
      </c>
      <c r="Q4" s="51">
        <v>97.524777599999993</v>
      </c>
      <c r="R4" s="53">
        <v>3.9767999999999999</v>
      </c>
      <c r="S4" s="53">
        <v>8.8124000000000002</v>
      </c>
      <c r="T4" s="53">
        <v>9.9036000000000008</v>
      </c>
      <c r="U4" s="52">
        <v>2.1822889132818268E-2</v>
      </c>
      <c r="V4" s="49" t="s">
        <v>395</v>
      </c>
      <c r="W4" s="49">
        <v>2025</v>
      </c>
      <c r="X4" s="49">
        <v>2025</v>
      </c>
      <c r="Y4" s="49" t="s">
        <v>396</v>
      </c>
      <c r="Z4" s="49"/>
      <c r="AA4" s="49"/>
    </row>
    <row r="5" spans="2:27" x14ac:dyDescent="0.55000000000000004">
      <c r="B5" s="49">
        <v>5280480</v>
      </c>
      <c r="C5" s="49" t="s">
        <v>397</v>
      </c>
      <c r="D5" s="49" t="s">
        <v>398</v>
      </c>
      <c r="E5" s="49" t="s">
        <v>399</v>
      </c>
      <c r="F5" s="50" t="s">
        <v>400</v>
      </c>
      <c r="G5" s="51">
        <v>1135</v>
      </c>
      <c r="H5" s="49" t="s">
        <v>394</v>
      </c>
      <c r="I5" s="51">
        <v>414.85669200000001</v>
      </c>
      <c r="J5" s="52">
        <v>-3.6945463803843233E-2</v>
      </c>
      <c r="K5" s="51">
        <f>M5*S5</f>
        <v>429.38360761274998</v>
      </c>
      <c r="L5" s="51">
        <v>414.85669200000001</v>
      </c>
      <c r="M5" s="51">
        <v>49.033185750000001</v>
      </c>
      <c r="N5" s="51"/>
      <c r="O5" s="51"/>
      <c r="P5" s="52">
        <v>0.1181930693069307</v>
      </c>
      <c r="Q5" s="51">
        <v>49.033185750000001</v>
      </c>
      <c r="R5" s="53">
        <v>1.0349999999999999</v>
      </c>
      <c r="S5" s="53">
        <v>8.7569999999999997</v>
      </c>
      <c r="T5" s="53">
        <v>30.8672</v>
      </c>
      <c r="U5" s="52">
        <v>3.3556562757084192E-2</v>
      </c>
      <c r="V5" s="49" t="s">
        <v>395</v>
      </c>
      <c r="W5" s="49">
        <v>2025</v>
      </c>
      <c r="X5" s="49">
        <v>2025</v>
      </c>
      <c r="Y5" s="49" t="s">
        <v>396</v>
      </c>
      <c r="Z5" s="49"/>
      <c r="AA5" s="49"/>
    </row>
    <row r="6" spans="2:27" x14ac:dyDescent="0.55000000000000004">
      <c r="B6" s="49">
        <v>18285512</v>
      </c>
      <c r="C6" s="49" t="s">
        <v>401</v>
      </c>
      <c r="D6" s="49" t="s">
        <v>402</v>
      </c>
      <c r="E6" s="49" t="s">
        <v>403</v>
      </c>
      <c r="F6" s="50" t="s">
        <v>404</v>
      </c>
      <c r="G6" s="51">
        <v>666</v>
      </c>
      <c r="H6" s="49" t="s">
        <v>394</v>
      </c>
      <c r="I6" s="51">
        <v>158.97705495</v>
      </c>
      <c r="J6" s="52">
        <v>-0.1743952190243411</v>
      </c>
      <c r="K6" s="51">
        <f>M6*S6</f>
        <v>74.010890240799995</v>
      </c>
      <c r="L6" s="51">
        <v>158.97705495</v>
      </c>
      <c r="M6" s="51">
        <v>10.53685795</v>
      </c>
      <c r="N6" s="51"/>
      <c r="O6" s="51"/>
      <c r="P6" s="52">
        <v>6.6279111493881659E-2</v>
      </c>
      <c r="Q6" s="51">
        <v>10.53685795</v>
      </c>
      <c r="R6" s="53">
        <v>0.46550000000000002</v>
      </c>
      <c r="S6" s="53">
        <v>7.024</v>
      </c>
      <c r="T6" s="53">
        <v>175.791</v>
      </c>
      <c r="U6" s="52">
        <v>0.15610954377561809</v>
      </c>
      <c r="V6" s="49" t="s">
        <v>395</v>
      </c>
      <c r="W6" s="49">
        <v>2025</v>
      </c>
      <c r="X6" s="49">
        <v>2025</v>
      </c>
      <c r="Y6" s="49" t="s">
        <v>396</v>
      </c>
      <c r="Z6" s="49"/>
      <c r="AA6" s="49"/>
    </row>
    <row r="7" spans="2:27" x14ac:dyDescent="0.55000000000000004">
      <c r="B7" s="49">
        <v>501430</v>
      </c>
      <c r="C7" s="49" t="s">
        <v>405</v>
      </c>
      <c r="D7" s="49" t="s">
        <v>406</v>
      </c>
      <c r="E7" s="49" t="s">
        <v>407</v>
      </c>
      <c r="F7" s="50" t="s">
        <v>408</v>
      </c>
      <c r="G7" s="51">
        <v>4145</v>
      </c>
      <c r="H7" s="49" t="s">
        <v>394</v>
      </c>
      <c r="I7" s="51">
        <v>234.92665768000001</v>
      </c>
      <c r="J7" s="52">
        <v>-0.18637283467358781</v>
      </c>
      <c r="K7" s="51">
        <f>M7*S7</f>
        <v>173.627679657952</v>
      </c>
      <c r="L7" s="51">
        <v>234.92665768000001</v>
      </c>
      <c r="M7" s="51">
        <v>24.179097280000001</v>
      </c>
      <c r="N7" s="51"/>
      <c r="O7" s="51"/>
      <c r="P7" s="52">
        <v>0.1029218970668497</v>
      </c>
      <c r="Q7" s="51">
        <v>24.179097280000001</v>
      </c>
      <c r="R7" s="53">
        <v>0.73909999999999998</v>
      </c>
      <c r="S7" s="53">
        <v>7.1809000000000003</v>
      </c>
      <c r="T7" s="53">
        <v>9.9667999999999992</v>
      </c>
      <c r="U7" s="52">
        <v>-0.14732004381615971</v>
      </c>
      <c r="V7" s="49" t="s">
        <v>395</v>
      </c>
      <c r="W7" s="49">
        <v>2025</v>
      </c>
      <c r="X7" s="49">
        <v>2025</v>
      </c>
      <c r="Y7" s="49" t="s">
        <v>396</v>
      </c>
      <c r="Z7" s="49"/>
      <c r="AA7" s="49"/>
    </row>
    <row r="8" spans="2:27" x14ac:dyDescent="0.55000000000000004">
      <c r="B8" s="49">
        <v>5174553</v>
      </c>
      <c r="C8" s="49" t="s">
        <v>409</v>
      </c>
      <c r="D8" s="49" t="s">
        <v>410</v>
      </c>
      <c r="E8" s="49" t="s">
        <v>411</v>
      </c>
      <c r="F8" s="50" t="s">
        <v>412</v>
      </c>
      <c r="G8" s="51">
        <v>10</v>
      </c>
      <c r="H8" s="49" t="s">
        <v>394</v>
      </c>
      <c r="I8" s="51">
        <v>45.78848</v>
      </c>
      <c r="J8" s="52">
        <v>-4.2821305116011017E-2</v>
      </c>
      <c r="K8" s="51">
        <f>M8*S8</f>
        <v>33.932719004800006</v>
      </c>
      <c r="L8" s="51">
        <v>45.78848</v>
      </c>
      <c r="M8" s="51">
        <v>2.9664320000000002</v>
      </c>
      <c r="N8" s="51"/>
      <c r="O8" s="51"/>
      <c r="P8" s="52">
        <v>6.4785553047404063E-2</v>
      </c>
      <c r="Q8" s="51">
        <v>2.9664320000000002</v>
      </c>
      <c r="R8" s="53">
        <v>0.74109999999999998</v>
      </c>
      <c r="S8" s="53">
        <v>11.4389</v>
      </c>
      <c r="T8" s="53">
        <v>18.0383</v>
      </c>
      <c r="U8" s="52">
        <v>0.1856311014966876</v>
      </c>
      <c r="V8" s="49" t="s">
        <v>395</v>
      </c>
      <c r="W8" s="49">
        <v>2025</v>
      </c>
      <c r="X8" s="49">
        <v>2025</v>
      </c>
      <c r="Y8" s="49" t="s">
        <v>396</v>
      </c>
      <c r="Z8" s="49"/>
      <c r="AA8" s="49"/>
    </row>
    <row r="9" spans="2:27" x14ac:dyDescent="0.55000000000000004">
      <c r="B9" s="49">
        <v>40865279</v>
      </c>
      <c r="C9" s="49" t="s">
        <v>413</v>
      </c>
      <c r="D9" s="49" t="s">
        <v>414</v>
      </c>
      <c r="E9" s="49" t="s">
        <v>407</v>
      </c>
      <c r="F9" s="50" t="s">
        <v>415</v>
      </c>
      <c r="G9" s="51">
        <v>2106</v>
      </c>
      <c r="H9" s="49" t="s">
        <v>394</v>
      </c>
      <c r="I9" s="51">
        <v>2110.4193416799999</v>
      </c>
      <c r="J9" s="52">
        <v>-7.0838112732481195E-2</v>
      </c>
      <c r="K9" s="51">
        <f>M9*S9</f>
        <v>1105.16712260448</v>
      </c>
      <c r="L9" s="51">
        <v>2110.4193416799999</v>
      </c>
      <c r="M9" s="51">
        <v>103.2885776</v>
      </c>
      <c r="N9" s="51"/>
      <c r="O9" s="51"/>
      <c r="P9" s="52">
        <v>4.8942205731386593E-2</v>
      </c>
      <c r="Q9" s="51">
        <v>103.2885776</v>
      </c>
      <c r="R9" s="53">
        <v>0.52370000000000005</v>
      </c>
      <c r="S9" s="53">
        <v>10.6998</v>
      </c>
      <c r="T9" s="53">
        <v>40.071100000000001</v>
      </c>
      <c r="U9" s="52">
        <v>-2.753429408453156E-2</v>
      </c>
      <c r="V9" s="49" t="s">
        <v>395</v>
      </c>
      <c r="W9" s="49">
        <v>2025</v>
      </c>
      <c r="X9" s="49">
        <v>2025</v>
      </c>
      <c r="Y9" s="49" t="s">
        <v>396</v>
      </c>
      <c r="Z9" s="49"/>
      <c r="AA9" s="49"/>
    </row>
    <row r="10" spans="2:27" x14ac:dyDescent="0.55000000000000004">
      <c r="B10" s="49">
        <v>8675714</v>
      </c>
      <c r="C10" s="49" t="s">
        <v>416</v>
      </c>
      <c r="D10" s="49" t="s">
        <v>417</v>
      </c>
      <c r="E10" s="49" t="s">
        <v>407</v>
      </c>
      <c r="F10" s="50" t="s">
        <v>418</v>
      </c>
      <c r="G10" s="51">
        <v>4508</v>
      </c>
      <c r="H10" s="49" t="s">
        <v>394</v>
      </c>
      <c r="I10" s="51">
        <v>1032.4892239999999</v>
      </c>
      <c r="J10" s="52">
        <v>-0.10774161990083329</v>
      </c>
      <c r="K10" s="51">
        <f>M10*S10</f>
        <v>173.50366092799999</v>
      </c>
      <c r="L10" s="51">
        <v>1032.4892239999999</v>
      </c>
      <c r="M10" s="51">
        <v>10.574719999999999</v>
      </c>
      <c r="N10" s="51"/>
      <c r="O10" s="51"/>
      <c r="P10" s="52">
        <v>1.0241966457559849E-2</v>
      </c>
      <c r="Q10" s="51">
        <v>10.574719999999999</v>
      </c>
      <c r="R10" s="53">
        <v>0.16800000000000001</v>
      </c>
      <c r="S10" s="53">
        <v>16.407399999999999</v>
      </c>
      <c r="T10" s="53">
        <v>-9.0524000000000004</v>
      </c>
      <c r="U10" s="52">
        <v>-0.119774087666231</v>
      </c>
      <c r="V10" s="49" t="s">
        <v>395</v>
      </c>
      <c r="W10" s="49">
        <v>2025</v>
      </c>
      <c r="X10" s="49">
        <v>2025</v>
      </c>
      <c r="Y10" s="49" t="s">
        <v>396</v>
      </c>
      <c r="Z10" s="49"/>
      <c r="AA10" s="49"/>
    </row>
    <row r="11" spans="2:27" x14ac:dyDescent="0.55000000000000004">
      <c r="B11" s="49">
        <v>8454443</v>
      </c>
      <c r="C11" s="49" t="s">
        <v>419</v>
      </c>
      <c r="D11" s="49" t="s">
        <v>420</v>
      </c>
      <c r="E11" s="49" t="s">
        <v>407</v>
      </c>
      <c r="F11" s="50" t="s">
        <v>421</v>
      </c>
      <c r="G11" s="51">
        <v>31439</v>
      </c>
      <c r="H11" s="49" t="s">
        <v>394</v>
      </c>
      <c r="I11" s="51">
        <v>8733.3968800000002</v>
      </c>
      <c r="J11" s="52">
        <v>9.1484422862286863E-4</v>
      </c>
      <c r="K11" s="51">
        <f>M11*S11</f>
        <v>1689.7135179807997</v>
      </c>
      <c r="L11" s="51">
        <v>8733.3968800000002</v>
      </c>
      <c r="M11" s="51">
        <v>103.36788799999999</v>
      </c>
      <c r="N11" s="51"/>
      <c r="O11" s="51"/>
      <c r="P11" s="52">
        <v>1.183593158771E-2</v>
      </c>
      <c r="Q11" s="51">
        <v>103.36788799999999</v>
      </c>
      <c r="R11" s="53">
        <v>0.19350000000000001</v>
      </c>
      <c r="S11" s="53">
        <v>16.346599999999999</v>
      </c>
      <c r="T11" s="53">
        <v>81.942800000000005</v>
      </c>
      <c r="U11" s="52">
        <v>7.3027151406000801E-2</v>
      </c>
      <c r="V11" s="49" t="s">
        <v>395</v>
      </c>
      <c r="W11" s="49">
        <v>2025</v>
      </c>
      <c r="X11" s="49">
        <v>2025</v>
      </c>
      <c r="Y11" s="49" t="s">
        <v>396</v>
      </c>
      <c r="Z11" s="49"/>
      <c r="AA11" s="49"/>
    </row>
    <row r="12" spans="2:27" x14ac:dyDescent="0.55000000000000004">
      <c r="B12" s="49">
        <v>12444477</v>
      </c>
      <c r="C12" s="49" t="s">
        <v>292</v>
      </c>
      <c r="D12" s="49" t="s">
        <v>422</v>
      </c>
      <c r="E12" s="49" t="s">
        <v>423</v>
      </c>
      <c r="F12" s="50" t="s">
        <v>424</v>
      </c>
      <c r="G12" s="51">
        <v>5307</v>
      </c>
      <c r="H12" s="49" t="s">
        <v>394</v>
      </c>
      <c r="I12" s="51">
        <v>1389.3089663200001</v>
      </c>
      <c r="J12" s="52">
        <v>1.000595864584364E-2</v>
      </c>
      <c r="K12" s="51">
        <f>M12*S12</f>
        <v>460.95447274022803</v>
      </c>
      <c r="L12" s="51">
        <v>1389.3089663200001</v>
      </c>
      <c r="M12" s="51">
        <v>50.992231240000002</v>
      </c>
      <c r="N12" s="51"/>
      <c r="O12" s="51"/>
      <c r="P12" s="52">
        <v>3.6703305367033062E-2</v>
      </c>
      <c r="Q12" s="51">
        <v>50.992231240000002</v>
      </c>
      <c r="R12" s="53">
        <v>0.33179999999999998</v>
      </c>
      <c r="S12" s="53">
        <v>9.0396999999999998</v>
      </c>
      <c r="T12" s="53">
        <v>23.470700000000001</v>
      </c>
      <c r="U12" s="52">
        <v>1.381443484904632E-2</v>
      </c>
      <c r="V12" s="49" t="s">
        <v>395</v>
      </c>
      <c r="W12" s="49">
        <v>2025</v>
      </c>
      <c r="X12" s="49">
        <v>2025</v>
      </c>
      <c r="Y12" s="49" t="s">
        <v>396</v>
      </c>
      <c r="Z12" s="49"/>
      <c r="AA12" s="49"/>
    </row>
    <row r="13" spans="2:27" x14ac:dyDescent="0.55000000000000004">
      <c r="B13" s="49">
        <v>5161314</v>
      </c>
      <c r="C13" s="49" t="s">
        <v>425</v>
      </c>
      <c r="D13" s="49" t="s">
        <v>426</v>
      </c>
      <c r="E13" s="49" t="s">
        <v>411</v>
      </c>
      <c r="F13" s="50" t="s">
        <v>427</v>
      </c>
      <c r="G13" s="51">
        <v>368</v>
      </c>
      <c r="H13" s="49" t="s">
        <v>394</v>
      </c>
      <c r="I13" s="51">
        <v>29.250879999999999</v>
      </c>
      <c r="J13" s="52">
        <v>-0.2086950228397102</v>
      </c>
      <c r="K13" s="51">
        <f>M13*S13</f>
        <v>8.1513644351999996</v>
      </c>
      <c r="L13" s="51">
        <v>29.250879999999999</v>
      </c>
      <c r="M13" s="51">
        <v>0.434112</v>
      </c>
      <c r="N13" s="51"/>
      <c r="O13" s="51"/>
      <c r="P13" s="52">
        <v>1.484098939929329E-2</v>
      </c>
      <c r="Q13" s="51">
        <v>0.434112</v>
      </c>
      <c r="R13" s="53">
        <v>0.2787</v>
      </c>
      <c r="S13" s="53">
        <v>18.777100000000001</v>
      </c>
      <c r="T13" s="53">
        <v>-182.5547</v>
      </c>
      <c r="U13" s="52">
        <v>0.76437544621114939</v>
      </c>
      <c r="V13" s="49" t="s">
        <v>395</v>
      </c>
      <c r="W13" s="49">
        <v>2025</v>
      </c>
      <c r="X13" s="49">
        <v>2025</v>
      </c>
      <c r="Y13" s="49" t="s">
        <v>396</v>
      </c>
      <c r="Z13" s="49"/>
      <c r="AA13" s="49"/>
    </row>
    <row r="14" spans="2:27" x14ac:dyDescent="0.55000000000000004">
      <c r="B14" s="49">
        <v>8895426</v>
      </c>
      <c r="C14" s="49" t="s">
        <v>428</v>
      </c>
      <c r="D14" s="49" t="s">
        <v>429</v>
      </c>
      <c r="E14" s="49" t="s">
        <v>411</v>
      </c>
      <c r="F14" s="50" t="s">
        <v>430</v>
      </c>
      <c r="G14" s="51">
        <v>20</v>
      </c>
      <c r="H14" s="49" t="s">
        <v>394</v>
      </c>
      <c r="I14" s="51">
        <v>146.068352</v>
      </c>
      <c r="J14" s="52">
        <v>-0.1217302976793468</v>
      </c>
      <c r="K14" s="51">
        <f>M14*S14</f>
        <v>29.121721343999997</v>
      </c>
      <c r="L14" s="51">
        <v>146.068352</v>
      </c>
      <c r="M14" s="51">
        <v>2.7907199999999999</v>
      </c>
      <c r="N14" s="51"/>
      <c r="O14" s="51"/>
      <c r="P14" s="52">
        <v>1.910557599773563E-2</v>
      </c>
      <c r="Q14" s="51">
        <v>2.7907199999999999</v>
      </c>
      <c r="R14" s="53">
        <v>0.19939999999999999</v>
      </c>
      <c r="S14" s="53">
        <v>10.4352</v>
      </c>
      <c r="T14" s="53">
        <v>-50.312600000000003</v>
      </c>
      <c r="U14" s="52">
        <v>0.25992104989487319</v>
      </c>
      <c r="V14" s="49" t="s">
        <v>395</v>
      </c>
      <c r="W14" s="49">
        <v>2025</v>
      </c>
      <c r="X14" s="49">
        <v>2025</v>
      </c>
      <c r="Y14" s="49" t="s">
        <v>396</v>
      </c>
      <c r="Z14" s="49"/>
      <c r="AA14" s="49"/>
    </row>
    <row r="15" spans="2:27" x14ac:dyDescent="0.55000000000000004">
      <c r="B15" s="49">
        <v>3595177</v>
      </c>
      <c r="C15" s="49" t="s">
        <v>431</v>
      </c>
      <c r="D15" s="49" t="s">
        <v>432</v>
      </c>
      <c r="E15" s="49" t="s">
        <v>411</v>
      </c>
      <c r="F15" s="50" t="s">
        <v>433</v>
      </c>
      <c r="G15" s="51">
        <v>548</v>
      </c>
      <c r="H15" s="49" t="s">
        <v>394</v>
      </c>
      <c r="I15" s="51">
        <v>1420.21983712</v>
      </c>
      <c r="J15" s="52">
        <v>-5.0861740463697187E-2</v>
      </c>
      <c r="K15" s="51">
        <f>M15*S15</f>
        <v>184.70652086515202</v>
      </c>
      <c r="L15" s="51">
        <v>1420.21983712</v>
      </c>
      <c r="M15" s="51">
        <v>19.307234560000001</v>
      </c>
      <c r="N15" s="51"/>
      <c r="O15" s="51"/>
      <c r="P15" s="52">
        <v>1.3594539419441059E-2</v>
      </c>
      <c r="Q15" s="51">
        <v>19.307234560000001</v>
      </c>
      <c r="R15" s="53">
        <v>0.13009999999999999</v>
      </c>
      <c r="S15" s="53">
        <v>9.5667000000000009</v>
      </c>
      <c r="T15" s="53">
        <v>14.537599999999999</v>
      </c>
      <c r="U15" s="52">
        <v>-3.2978838112823761E-2</v>
      </c>
      <c r="V15" s="49" t="s">
        <v>395</v>
      </c>
      <c r="W15" s="49">
        <v>2025</v>
      </c>
      <c r="X15" s="49">
        <v>2025</v>
      </c>
      <c r="Y15" s="49" t="s">
        <v>396</v>
      </c>
      <c r="Z15" s="49"/>
      <c r="AA15" s="49"/>
    </row>
    <row r="16" spans="2:27" x14ac:dyDescent="0.55000000000000004">
      <c r="B16" s="49">
        <v>10889877</v>
      </c>
      <c r="C16" s="49" t="s">
        <v>434</v>
      </c>
      <c r="D16" s="49" t="s">
        <v>435</v>
      </c>
      <c r="E16" s="49" t="s">
        <v>423</v>
      </c>
      <c r="F16" s="50" t="s">
        <v>436</v>
      </c>
      <c r="G16" s="51">
        <v>60315</v>
      </c>
      <c r="H16" s="49" t="s">
        <v>394</v>
      </c>
      <c r="I16" s="51">
        <v>26330.164690000001</v>
      </c>
      <c r="J16" s="52">
        <v>-5.7550626687547957E-2</v>
      </c>
      <c r="K16" s="51">
        <f>M16*S16</f>
        <v>8194.7277891049998</v>
      </c>
      <c r="L16" s="51">
        <v>26330.164690000001</v>
      </c>
      <c r="M16" s="51">
        <v>964.11964999999998</v>
      </c>
      <c r="N16" s="51"/>
      <c r="O16" s="51"/>
      <c r="P16" s="52">
        <v>3.6616544611517962E-2</v>
      </c>
      <c r="Q16" s="51">
        <v>964.11964999999998</v>
      </c>
      <c r="R16" s="53">
        <v>0.31119999999999998</v>
      </c>
      <c r="S16" s="53">
        <v>8.4997000000000007</v>
      </c>
      <c r="T16" s="53">
        <v>13.6027</v>
      </c>
      <c r="U16" s="52">
        <v>-8.2138005248107993E-3</v>
      </c>
      <c r="V16" s="49" t="s">
        <v>395</v>
      </c>
      <c r="W16" s="49">
        <v>2025</v>
      </c>
      <c r="X16" s="49">
        <v>2025</v>
      </c>
      <c r="Y16" s="49" t="s">
        <v>396</v>
      </c>
      <c r="Z16" s="49"/>
      <c r="AA16" s="49"/>
    </row>
    <row r="17" spans="2:27" x14ac:dyDescent="0.55000000000000004">
      <c r="B17" s="49">
        <v>2446778</v>
      </c>
      <c r="C17" s="49" t="s">
        <v>365</v>
      </c>
      <c r="D17" s="49" t="s">
        <v>437</v>
      </c>
      <c r="E17" s="49" t="s">
        <v>438</v>
      </c>
      <c r="F17" s="50" t="s">
        <v>439</v>
      </c>
      <c r="G17" s="51">
        <v>205090</v>
      </c>
      <c r="H17" s="49" t="s">
        <v>394</v>
      </c>
      <c r="I17" s="51">
        <v>26507.9111932081</v>
      </c>
      <c r="J17" s="52">
        <v>-5.7751746319654176E-3</v>
      </c>
      <c r="K17" s="51">
        <f>M17*S17</f>
        <v>7939.9416627230976</v>
      </c>
      <c r="L17" s="51">
        <v>26507.9111932081</v>
      </c>
      <c r="M17" s="51">
        <v>931.37145603789997</v>
      </c>
      <c r="N17" s="51"/>
      <c r="O17" s="51"/>
      <c r="P17" s="52">
        <v>3.513560345247186E-2</v>
      </c>
      <c r="Q17" s="51">
        <v>931.37145603789997</v>
      </c>
      <c r="R17" s="53">
        <v>0.29949999999999999</v>
      </c>
      <c r="S17" s="53">
        <v>8.5250000000000004</v>
      </c>
      <c r="T17" s="53">
        <v>11.5809</v>
      </c>
      <c r="U17" s="52">
        <v>0.43279916820204889</v>
      </c>
      <c r="V17" s="49" t="s">
        <v>395</v>
      </c>
      <c r="W17" s="49">
        <v>2025</v>
      </c>
      <c r="X17" s="49">
        <v>2025</v>
      </c>
      <c r="Y17" s="49" t="s">
        <v>396</v>
      </c>
      <c r="Z17" s="49"/>
      <c r="AA17" s="49"/>
    </row>
    <row r="18" spans="2:27" x14ac:dyDescent="0.55000000000000004">
      <c r="Q18" s="3"/>
      <c r="R18" s="3"/>
      <c r="S18" s="3"/>
      <c r="T18" s="3"/>
    </row>
    <row r="19" spans="2:27" x14ac:dyDescent="0.55000000000000004">
      <c r="B19" s="54" t="s">
        <v>2</v>
      </c>
      <c r="C19" s="54"/>
      <c r="D19" s="54"/>
      <c r="E19" s="54"/>
      <c r="F19" s="54"/>
      <c r="G19" s="54"/>
      <c r="H19" s="54"/>
      <c r="I19" s="54"/>
      <c r="J19" s="54"/>
      <c r="K19" s="54"/>
      <c r="L19" s="54"/>
      <c r="M19" s="54"/>
      <c r="N19" s="54"/>
      <c r="O19" s="54"/>
      <c r="P19" s="54"/>
      <c r="Q19" s="54"/>
      <c r="R19" s="55">
        <f>MIN(R4:R17)</f>
        <v>0.13009999999999999</v>
      </c>
      <c r="S19" s="55">
        <f>MIN(S4:S17)</f>
        <v>7.024</v>
      </c>
      <c r="T19" s="55">
        <f>MIN(T4:T17)</f>
        <v>-182.5547</v>
      </c>
      <c r="U19" s="54"/>
      <c r="V19" s="54"/>
      <c r="W19" s="54"/>
      <c r="X19" s="54"/>
      <c r="Y19" s="54"/>
      <c r="Z19" s="54"/>
      <c r="AA19" s="54"/>
    </row>
    <row r="20" spans="2:27" x14ac:dyDescent="0.55000000000000004">
      <c r="B20" s="54" t="s">
        <v>3</v>
      </c>
      <c r="C20" s="54"/>
      <c r="D20" s="54"/>
      <c r="E20" s="54"/>
      <c r="F20" s="54"/>
      <c r="G20" s="54"/>
      <c r="H20" s="54"/>
      <c r="I20" s="54"/>
      <c r="J20" s="54"/>
      <c r="K20" s="54"/>
      <c r="L20" s="54"/>
      <c r="M20" s="54"/>
      <c r="N20" s="54"/>
      <c r="O20" s="54"/>
      <c r="P20" s="54"/>
      <c r="Q20" s="54"/>
      <c r="R20" s="55">
        <f>MEDIAN(R4:R17)</f>
        <v>0.32150000000000001</v>
      </c>
      <c r="S20" s="55">
        <f>MEDIAN(S4:S17)</f>
        <v>9.3032000000000004</v>
      </c>
      <c r="T20" s="55">
        <f>MEDIAN(T4:T17)</f>
        <v>14.07015</v>
      </c>
      <c r="U20" s="54"/>
      <c r="V20" s="54"/>
      <c r="W20" s="54"/>
      <c r="X20" s="54"/>
      <c r="Y20" s="54"/>
      <c r="Z20" s="54"/>
      <c r="AA20" s="54"/>
    </row>
    <row r="21" spans="2:27" x14ac:dyDescent="0.55000000000000004">
      <c r="B21" s="54" t="s">
        <v>5</v>
      </c>
      <c r="C21" s="54"/>
      <c r="D21" s="54"/>
      <c r="E21" s="54"/>
      <c r="F21" s="54"/>
      <c r="G21" s="54"/>
      <c r="H21" s="54"/>
      <c r="I21" s="54"/>
      <c r="J21" s="54"/>
      <c r="K21" s="54"/>
      <c r="L21" s="54"/>
      <c r="M21" s="54"/>
      <c r="N21" s="54"/>
      <c r="O21" s="54"/>
      <c r="P21" s="54"/>
      <c r="Q21" s="54"/>
      <c r="R21" s="55">
        <f>MAX(R4:R17)</f>
        <v>3.9767999999999999</v>
      </c>
      <c r="S21" s="55">
        <f t="shared" ref="S21:T21" si="0">MAX(S4:S17)</f>
        <v>18.777100000000001</v>
      </c>
      <c r="T21" s="55">
        <f t="shared" si="0"/>
        <v>175.791</v>
      </c>
      <c r="U21" s="54"/>
      <c r="V21" s="54"/>
      <c r="W21" s="54"/>
      <c r="X21" s="54"/>
      <c r="Y21" s="54"/>
      <c r="Z21" s="54"/>
      <c r="AA21" s="54"/>
    </row>
    <row r="22" spans="2:27" x14ac:dyDescent="0.55000000000000004">
      <c r="B22" s="54" t="s">
        <v>4</v>
      </c>
      <c r="C22" s="54"/>
      <c r="D22" s="54"/>
      <c r="E22" s="54"/>
      <c r="F22" s="54"/>
      <c r="G22" s="54"/>
      <c r="H22" s="54"/>
      <c r="I22" s="54"/>
      <c r="J22" s="54"/>
      <c r="K22" s="54"/>
      <c r="L22" s="54"/>
      <c r="M22" s="54"/>
      <c r="N22" s="54"/>
      <c r="O22" s="54"/>
      <c r="P22" s="54"/>
      <c r="Q22" s="54"/>
      <c r="R22" s="55">
        <f>AVERAGE(R4:R17)</f>
        <v>0.67095714285714292</v>
      </c>
      <c r="S22" s="55">
        <f>AVERAGE(S4:S17)</f>
        <v>10.822171428571426</v>
      </c>
      <c r="T22" s="55">
        <f>AVERAGE(T4:T17)</f>
        <v>13.418071428571434</v>
      </c>
      <c r="U22" s="54"/>
      <c r="V22" s="54"/>
      <c r="W22" s="54"/>
      <c r="X22" s="54"/>
      <c r="Y22" s="54"/>
      <c r="Z22" s="54"/>
      <c r="AA22" s="54"/>
    </row>
    <row r="24" spans="2:27" x14ac:dyDescent="0.55000000000000004">
      <c r="B24" s="1" t="s">
        <v>464</v>
      </c>
    </row>
    <row r="25" spans="2:27" x14ac:dyDescent="0.55000000000000004">
      <c r="B25" s="49">
        <v>7215898</v>
      </c>
      <c r="C25" s="49" t="s">
        <v>440</v>
      </c>
      <c r="D25" s="49" t="s">
        <v>441</v>
      </c>
      <c r="E25" s="49" t="s">
        <v>442</v>
      </c>
      <c r="F25" s="50" t="s">
        <v>443</v>
      </c>
      <c r="G25" s="51">
        <v>4773</v>
      </c>
      <c r="H25" s="49" t="s">
        <v>394</v>
      </c>
      <c r="I25" s="51">
        <v>3698.1119640000002</v>
      </c>
      <c r="J25" s="52">
        <v>3.5869535869312852E-2</v>
      </c>
      <c r="K25" s="49"/>
      <c r="L25" s="51">
        <v>3698.1119640000002</v>
      </c>
      <c r="M25" s="51">
        <v>153.33952217999999</v>
      </c>
      <c r="N25" s="51"/>
      <c r="O25" s="51"/>
      <c r="P25" s="52">
        <v>4.1464272491669757E-2</v>
      </c>
      <c r="Q25" s="51">
        <v>153.33952217999999</v>
      </c>
      <c r="R25" s="51">
        <v>0.12909999999999999</v>
      </c>
      <c r="S25" s="51">
        <v>3.1141000000000001</v>
      </c>
      <c r="T25" s="51">
        <v>4.3015999999999996</v>
      </c>
      <c r="U25" s="52">
        <v>-1.8628702024887089E-2</v>
      </c>
      <c r="V25" s="49" t="s">
        <v>395</v>
      </c>
      <c r="W25" s="49">
        <v>2025</v>
      </c>
      <c r="X25" s="49">
        <v>2025</v>
      </c>
      <c r="Y25" s="49" t="s">
        <v>396</v>
      </c>
      <c r="Z25" s="49"/>
      <c r="AA25" s="49"/>
    </row>
    <row r="26" spans="2:27" x14ac:dyDescent="0.55000000000000004">
      <c r="B26" s="49">
        <v>1477589</v>
      </c>
      <c r="C26" s="49" t="s">
        <v>444</v>
      </c>
      <c r="D26" s="49" t="s">
        <v>445</v>
      </c>
      <c r="E26" s="49" t="s">
        <v>407</v>
      </c>
      <c r="F26" s="50" t="s">
        <v>446</v>
      </c>
      <c r="G26" s="51">
        <v>2396</v>
      </c>
      <c r="H26" s="49" t="s">
        <v>394</v>
      </c>
      <c r="I26" s="51">
        <v>1462.880328</v>
      </c>
      <c r="J26" s="52">
        <v>5.5740146391249253E-2</v>
      </c>
      <c r="K26" s="49"/>
      <c r="L26" s="51">
        <v>1462.880328</v>
      </c>
      <c r="M26" s="51">
        <v>21.017256</v>
      </c>
      <c r="N26" s="51"/>
      <c r="O26" s="51"/>
      <c r="P26" s="52">
        <v>1.4367037137435619E-2</v>
      </c>
      <c r="Q26" s="51">
        <v>21.017256</v>
      </c>
      <c r="R26" s="51">
        <v>5.1700000000000003E-2</v>
      </c>
      <c r="S26" s="51">
        <v>3.6013000000000002</v>
      </c>
      <c r="T26" s="51">
        <v>4.4046000000000003</v>
      </c>
      <c r="U26" s="52">
        <v>0.1166112037754887</v>
      </c>
      <c r="V26" s="49" t="s">
        <v>395</v>
      </c>
      <c r="W26" s="49">
        <v>2025</v>
      </c>
      <c r="X26" s="49">
        <v>2025</v>
      </c>
      <c r="Y26" s="49" t="s">
        <v>396</v>
      </c>
      <c r="Z26" s="49"/>
      <c r="AA26" s="49"/>
    </row>
    <row r="27" spans="2:27" x14ac:dyDescent="0.55000000000000004">
      <c r="B27" s="49">
        <v>1335665</v>
      </c>
      <c r="C27" s="49" t="s">
        <v>39</v>
      </c>
      <c r="D27" s="49" t="s">
        <v>447</v>
      </c>
      <c r="E27" s="49" t="s">
        <v>407</v>
      </c>
      <c r="F27" s="50" t="s">
        <v>448</v>
      </c>
      <c r="G27" s="51">
        <v>130</v>
      </c>
      <c r="H27" s="49" t="s">
        <v>394</v>
      </c>
      <c r="I27" s="51">
        <v>315.91976</v>
      </c>
      <c r="J27" s="52">
        <v>-2.9297465111741361E-2</v>
      </c>
      <c r="K27" s="49"/>
      <c r="L27" s="51">
        <v>315.91976</v>
      </c>
      <c r="M27" s="51">
        <v>15.994263999999999</v>
      </c>
      <c r="N27" s="51"/>
      <c r="O27" s="51"/>
      <c r="P27" s="52">
        <v>5.0627615062761512E-2</v>
      </c>
      <c r="Q27" s="51">
        <v>15.994263999999999</v>
      </c>
      <c r="R27" s="51">
        <v>0.15160000000000001</v>
      </c>
      <c r="S27" s="51">
        <v>2.9933999999999998</v>
      </c>
      <c r="T27" s="51">
        <v>7.8739999999999997</v>
      </c>
      <c r="U27" s="52">
        <v>4.4751091772477818E-2</v>
      </c>
      <c r="V27" s="49" t="s">
        <v>395</v>
      </c>
      <c r="W27" s="49">
        <v>2025</v>
      </c>
      <c r="X27" s="49">
        <v>2025</v>
      </c>
      <c r="Y27" s="49" t="s">
        <v>396</v>
      </c>
      <c r="Z27" s="49"/>
      <c r="AA27" s="49"/>
    </row>
    <row r="28" spans="2:27" x14ac:dyDescent="0.55000000000000004">
      <c r="B28" s="49">
        <v>3593079</v>
      </c>
      <c r="C28" s="49" t="s">
        <v>449</v>
      </c>
      <c r="D28" s="49" t="s">
        <v>450</v>
      </c>
      <c r="E28" s="49" t="s">
        <v>407</v>
      </c>
      <c r="F28" s="50" t="s">
        <v>451</v>
      </c>
      <c r="G28" s="51">
        <v>244</v>
      </c>
      <c r="H28" s="49" t="s">
        <v>394</v>
      </c>
      <c r="I28" s="51">
        <v>527.28197599999999</v>
      </c>
      <c r="J28" s="52">
        <v>-4.1213880706728601E-3</v>
      </c>
      <c r="K28" s="49"/>
      <c r="L28" s="51">
        <v>527.28197599999999</v>
      </c>
      <c r="M28" s="51">
        <v>5.4301187199999994</v>
      </c>
      <c r="N28" s="51"/>
      <c r="O28" s="51"/>
      <c r="P28" s="52">
        <v>1.029832038104788E-2</v>
      </c>
      <c r="Q28" s="51">
        <v>5.4301187199999994</v>
      </c>
      <c r="R28" s="51">
        <v>3.0200000000000001E-2</v>
      </c>
      <c r="S28" s="51">
        <v>2.9304999999999999</v>
      </c>
      <c r="T28" s="51">
        <v>4.4635999999999996</v>
      </c>
      <c r="U28" s="52">
        <v>-0.34692673288716858</v>
      </c>
      <c r="V28" s="49" t="s">
        <v>395</v>
      </c>
      <c r="W28" s="49">
        <v>2025</v>
      </c>
      <c r="X28" s="49">
        <v>2025</v>
      </c>
      <c r="Y28" s="49" t="s">
        <v>396</v>
      </c>
      <c r="Z28" s="49"/>
      <c r="AA28" s="49"/>
    </row>
    <row r="29" spans="2:27" x14ac:dyDescent="0.55000000000000004">
      <c r="B29" s="49">
        <v>2122004</v>
      </c>
      <c r="C29" s="49" t="s">
        <v>452</v>
      </c>
      <c r="D29" s="49" t="s">
        <v>453</v>
      </c>
      <c r="E29" s="49" t="s">
        <v>442</v>
      </c>
      <c r="F29" s="50" t="s">
        <v>454</v>
      </c>
      <c r="G29" s="51">
        <v>2466</v>
      </c>
      <c r="H29" s="49" t="s">
        <v>394</v>
      </c>
      <c r="I29" s="51">
        <v>1200.9850208590001</v>
      </c>
      <c r="J29" s="52">
        <v>9.5711533407700569E-2</v>
      </c>
      <c r="K29" s="49"/>
      <c r="L29" s="51">
        <v>1200.9850208590001</v>
      </c>
      <c r="M29" s="51">
        <v>32.640869760000001</v>
      </c>
      <c r="N29" s="51"/>
      <c r="O29" s="51"/>
      <c r="P29" s="52">
        <v>2.7178415378281529E-2</v>
      </c>
      <c r="Q29" s="51">
        <v>32.640869760000001</v>
      </c>
      <c r="R29" s="51">
        <v>0.13880000000000001</v>
      </c>
      <c r="S29" s="51">
        <v>5.1085000000000003</v>
      </c>
      <c r="T29" s="51">
        <v>6.3617999999999997</v>
      </c>
      <c r="U29" s="52">
        <v>0.11208400462918219</v>
      </c>
      <c r="V29" s="49" t="s">
        <v>395</v>
      </c>
      <c r="W29" s="49">
        <v>2025</v>
      </c>
      <c r="X29" s="49">
        <v>2025</v>
      </c>
      <c r="Y29" s="49" t="s">
        <v>396</v>
      </c>
      <c r="Z29" s="49"/>
      <c r="AA29" s="49"/>
    </row>
    <row r="30" spans="2:27" x14ac:dyDescent="0.55000000000000004">
      <c r="B30" s="49">
        <v>1177943</v>
      </c>
      <c r="C30" s="49" t="s">
        <v>455</v>
      </c>
      <c r="D30" s="49" t="s">
        <v>456</v>
      </c>
      <c r="E30" s="49" t="s">
        <v>407</v>
      </c>
      <c r="F30" s="50" t="s">
        <v>457</v>
      </c>
      <c r="G30" s="51">
        <v>21</v>
      </c>
      <c r="H30" s="49" t="s">
        <v>394</v>
      </c>
      <c r="I30" s="51">
        <v>126.28594991999999</v>
      </c>
      <c r="J30" s="52">
        <v>9.9347496599633475E-2</v>
      </c>
      <c r="K30" s="49"/>
      <c r="L30" s="51">
        <v>126.28594991999999</v>
      </c>
      <c r="M30" s="51">
        <v>4.3475317599999999</v>
      </c>
      <c r="N30" s="51"/>
      <c r="O30" s="51"/>
      <c r="P30" s="52">
        <v>3.4426092235550251E-2</v>
      </c>
      <c r="Q30" s="51">
        <v>4.3475317599999999</v>
      </c>
      <c r="R30" s="51">
        <v>0.1125</v>
      </c>
      <c r="S30" s="51">
        <v>3.2669999999999999</v>
      </c>
      <c r="T30" s="51">
        <v>4.1327999999999996</v>
      </c>
      <c r="U30" s="52">
        <v>3.3923876378405098E-2</v>
      </c>
      <c r="V30" s="49" t="s">
        <v>395</v>
      </c>
      <c r="W30" s="49">
        <v>2025</v>
      </c>
      <c r="X30" s="49">
        <v>2025</v>
      </c>
      <c r="Y30" s="49" t="s">
        <v>396</v>
      </c>
      <c r="Z30" s="49"/>
      <c r="AA30" s="49"/>
    </row>
    <row r="31" spans="2:27" x14ac:dyDescent="0.55000000000000004">
      <c r="B31" s="49">
        <v>3391652</v>
      </c>
      <c r="C31" s="49" t="s">
        <v>458</v>
      </c>
      <c r="D31" s="49" t="s">
        <v>459</v>
      </c>
      <c r="E31" s="49" t="s">
        <v>407</v>
      </c>
      <c r="F31" s="50" t="s">
        <v>460</v>
      </c>
      <c r="G31" s="51">
        <v>7883</v>
      </c>
      <c r="H31" s="49" t="s">
        <v>394</v>
      </c>
      <c r="I31" s="51">
        <v>1721.3053353600001</v>
      </c>
      <c r="J31" s="52">
        <v>-7.389413157301894E-2</v>
      </c>
      <c r="K31" s="49"/>
      <c r="L31" s="51">
        <v>1721.3053353600001</v>
      </c>
      <c r="M31" s="51">
        <v>59.852915200000012</v>
      </c>
      <c r="N31" s="51"/>
      <c r="O31" s="51"/>
      <c r="P31" s="52">
        <v>3.477181762611696E-2</v>
      </c>
      <c r="Q31" s="51">
        <v>59.852915200000012</v>
      </c>
      <c r="R31" s="51">
        <v>0.1779</v>
      </c>
      <c r="S31" s="51">
        <v>5.1162000000000001</v>
      </c>
      <c r="T31" s="51">
        <v>8.3924000000000003</v>
      </c>
      <c r="U31" s="52">
        <v>5.3291056417545501E-2</v>
      </c>
      <c r="V31" s="49" t="s">
        <v>395</v>
      </c>
      <c r="W31" s="49">
        <v>2025</v>
      </c>
      <c r="X31" s="49">
        <v>2025</v>
      </c>
      <c r="Y31" s="49" t="s">
        <v>396</v>
      </c>
      <c r="Z31" s="49"/>
      <c r="AA31" s="49"/>
    </row>
  </sheetData>
  <hyperlinks>
    <hyperlink ref="F4" r:id="rId1" xr:uid="{3FCDA843-863C-49DA-8D69-65248E9BAD46}"/>
    <hyperlink ref="F5" r:id="rId2" xr:uid="{A6C3D4D7-5666-461C-8F00-4AFABB7815A0}"/>
    <hyperlink ref="F6" r:id="rId3" xr:uid="{4E311B2E-5466-407D-A6E4-B1F2E12CE06A}"/>
    <hyperlink ref="F7" r:id="rId4" xr:uid="{E904097C-7559-4657-94BD-33F8D28AC1A9}"/>
    <hyperlink ref="F8" r:id="rId5" xr:uid="{12257223-6B9E-4DE6-B485-B6C665BD7A01}"/>
    <hyperlink ref="F9" r:id="rId6" xr:uid="{D9EADDC5-E22C-4FEF-B278-ACF15DFA7A26}"/>
    <hyperlink ref="F10" r:id="rId7" xr:uid="{A01FAD40-572B-4A43-A38A-E0D27FC5C465}"/>
    <hyperlink ref="F31" r:id="rId8" xr:uid="{297DC890-B5BA-4B02-8420-A197E86C0EBA}"/>
    <hyperlink ref="F11" r:id="rId9" xr:uid="{485701F7-B818-4C5A-A466-C6101859DE5A}"/>
    <hyperlink ref="F12" r:id="rId10" xr:uid="{BF86C56E-A219-4902-80F3-9A89180FA768}"/>
    <hyperlink ref="F28" r:id="rId11" xr:uid="{F0907989-89D9-4426-9200-63339073E4BA}"/>
    <hyperlink ref="F13" r:id="rId12" xr:uid="{F9C20E58-8D82-4EF0-BE7E-32D10DD8F11E}"/>
    <hyperlink ref="F14" r:id="rId13" xr:uid="{9CE7DFB8-A189-46E1-8D87-6A1CA75273A8}"/>
    <hyperlink ref="F15" r:id="rId14" xr:uid="{76DBCEAC-7B03-40A6-B18F-7A72B13A6529}"/>
    <hyperlink ref="F29" r:id="rId15" xr:uid="{DFD85D45-536E-4FE4-80ED-1BF4901562DC}"/>
    <hyperlink ref="F16" r:id="rId16" xr:uid="{84681402-07BC-45CE-BE88-A680E33945FA}"/>
    <hyperlink ref="F17" r:id="rId17" xr:uid="{156C775B-3BE9-4128-8CA0-F00203755FC0}"/>
    <hyperlink ref="F25" r:id="rId18" xr:uid="{6593144B-1E23-4954-B832-4B6609C0E55C}"/>
    <hyperlink ref="F26" r:id="rId19" xr:uid="{03304E9C-E905-45AF-A9F5-29F269CBC59E}"/>
    <hyperlink ref="F27" r:id="rId20" xr:uid="{EBAB0365-9B09-4E9B-A417-97E1EC17F8B2}"/>
    <hyperlink ref="F30" r:id="rId21" xr:uid="{D1978D21-A344-4473-A5D9-4379F07EF08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Valuation</vt:lpstr>
      <vt:lpstr>Precedent Transactions&gt;&gt;&gt;</vt:lpstr>
      <vt:lpstr>Transactions</vt:lpstr>
      <vt:lpstr>Relevant Transactions</vt:lpstr>
      <vt:lpstr>Comparable Companies&gt;&gt;&gt;</vt:lpstr>
      <vt:lpstr>Companies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SEF Esma</dc:creator>
  <cp:lastModifiedBy>Xibri, Esma</cp:lastModifiedBy>
  <dcterms:created xsi:type="dcterms:W3CDTF">2015-06-05T18:17:20Z</dcterms:created>
  <dcterms:modified xsi:type="dcterms:W3CDTF">2026-06-28T15:32:44Z</dcterms:modified>
</cp:coreProperties>
</file>